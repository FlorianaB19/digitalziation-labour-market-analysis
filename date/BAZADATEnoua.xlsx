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lory\Desktop\world_bank\bazadedate\"/>
    </mc:Choice>
  </mc:AlternateContent>
  <xr:revisionPtr revIDLastSave="0" documentId="13_ncr:1_{C18DD3DF-259D-4A45-B632-4E7717672089}" xr6:coauthVersionLast="47" xr6:coauthVersionMax="47" xr10:uidLastSave="{00000000-0000-0000-0000-000000000000}"/>
  <bookViews>
    <workbookView xWindow="28680" yWindow="-120" windowWidth="29040" windowHeight="15840" firstSheet="6" activeTab="12" xr2:uid="{00000000-000D-0000-FFFF-FFFF00000000}"/>
  </bookViews>
  <sheets>
    <sheet name="PANEL" sheetId="8" r:id="rId1"/>
    <sheet name="info " sheetId="1" r:id="rId2"/>
    <sheet name="ictgoods" sheetId="6" r:id="rId3"/>
    <sheet name="ictuse" sheetId="7" r:id="rId4"/>
    <sheet name="mobile_celular" sheetId="14" r:id="rId5"/>
    <sheet name="unemployEAD" sheetId="15" r:id="rId6"/>
    <sheet name="rdexpediture" sheetId="9" r:id="rId7"/>
    <sheet name="YOUTH_EMPLOY" sheetId="11" r:id="rId8"/>
    <sheet name="employmentRATE" sheetId="10" r:id="rId9"/>
    <sheet name="EMPLOYrate" sheetId="13" r:id="rId10"/>
    <sheet name="fixedbroadband" sheetId="2" r:id="rId11"/>
    <sheet name="gdpannual" sheetId="3" r:id="rId12"/>
    <sheet name="gdppercapita" sheetId="4" r:id="rId13"/>
    <sheet name="hightechmanu" sheetId="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8" i="8" l="1" a="1"/>
  <c r="E418" i="8" s="1"/>
  <c r="E402" i="8" a="1"/>
  <c r="E403" i="8" s="1"/>
  <c r="E386" i="8" a="1"/>
  <c r="E386" i="8" s="1"/>
  <c r="E392" i="8"/>
  <c r="E393" i="8"/>
  <c r="E370" i="8" a="1"/>
  <c r="E371" i="8" s="1"/>
  <c r="E378" i="8"/>
  <c r="E354" i="8" a="1"/>
  <c r="E355" i="8" s="1"/>
  <c r="E354" i="8"/>
  <c r="E366" i="8"/>
  <c r="E338" i="8" a="1"/>
  <c r="E338" i="8" s="1"/>
  <c r="E322" i="8" a="1"/>
  <c r="E322" i="8" s="1"/>
  <c r="E306" i="8" a="1"/>
  <c r="E306" i="8" s="1"/>
  <c r="E320" i="8"/>
  <c r="E290" i="8" a="1"/>
  <c r="E291" i="8" s="1"/>
  <c r="E293" i="8"/>
  <c r="E295" i="8"/>
  <c r="E301" i="8"/>
  <c r="E303" i="8"/>
  <c r="E274" i="8" a="1"/>
  <c r="E274" i="8" s="1"/>
  <c r="E258" i="8" a="1"/>
  <c r="E259" i="8" s="1"/>
  <c r="E262" i="8"/>
  <c r="E264" i="8"/>
  <c r="E266" i="8"/>
  <c r="E270" i="8"/>
  <c r="E242" i="8" a="1"/>
  <c r="E243" i="8" s="1"/>
  <c r="E242" i="8"/>
  <c r="E256" i="8"/>
  <c r="E226" i="8" a="1"/>
  <c r="E227" i="8" s="1"/>
  <c r="E231" i="8"/>
  <c r="E210" i="8" a="1"/>
  <c r="E211" i="8" s="1"/>
  <c r="E216" i="8"/>
  <c r="E218" i="8"/>
  <c r="E224" i="8"/>
  <c r="E225" i="8"/>
  <c r="E194" i="8" a="1"/>
  <c r="E195" i="8" s="1"/>
  <c r="E178" i="8" a="1"/>
  <c r="E179" i="8" s="1"/>
  <c r="E182" i="8"/>
  <c r="E184" i="8"/>
  <c r="E190" i="8"/>
  <c r="E192" i="8"/>
  <c r="E162" i="8" a="1"/>
  <c r="E162" i="8" s="1"/>
  <c r="E146" i="8" a="1"/>
  <c r="E146" i="8" s="1"/>
  <c r="E130" i="8" a="1"/>
  <c r="E131" i="8" s="1"/>
  <c r="E138" i="8"/>
  <c r="E143" i="8"/>
  <c r="E114" i="8" a="1"/>
  <c r="E115" i="8" s="1"/>
  <c r="E98" i="8" a="1"/>
  <c r="E99" i="8" s="1"/>
  <c r="E105" i="8"/>
  <c r="E82" i="8" a="1"/>
  <c r="E82" i="8" s="1"/>
  <c r="E87" i="8"/>
  <c r="E89" i="8"/>
  <c r="E95" i="8"/>
  <c r="E66" i="8" a="1"/>
  <c r="E67" i="8" s="1"/>
  <c r="E71" i="8"/>
  <c r="E50" i="8" a="1"/>
  <c r="E50" i="8" s="1"/>
  <c r="E34" i="8" a="1"/>
  <c r="E35" i="8" s="1"/>
  <c r="E18" i="8" a="1"/>
  <c r="E19" i="8" s="1"/>
  <c r="E2" i="8" a="1"/>
  <c r="E2" i="8" s="1"/>
  <c r="M418" i="8" a="1"/>
  <c r="M418" i="8" s="1"/>
  <c r="M423" i="8"/>
  <c r="M431" i="8"/>
  <c r="M433" i="8"/>
  <c r="M402" i="8" a="1"/>
  <c r="M403" i="8" s="1"/>
  <c r="M410" i="8"/>
  <c r="M417" i="8"/>
  <c r="M386" i="8" a="1"/>
  <c r="M387" i="8" s="1"/>
  <c r="M370" i="8" a="1"/>
  <c r="M370" i="8" s="1"/>
  <c r="M354" i="8" a="1"/>
  <c r="M356" i="8" s="1"/>
  <c r="M338" i="8" a="1"/>
  <c r="M339" i="8" s="1"/>
  <c r="M338" i="8"/>
  <c r="M342" i="8"/>
  <c r="M344" i="8"/>
  <c r="M346" i="8"/>
  <c r="M350" i="8"/>
  <c r="M322" i="8" a="1"/>
  <c r="M322" i="8" s="1"/>
  <c r="M306" i="8" a="1"/>
  <c r="M306" i="8" s="1"/>
  <c r="M290" i="8" a="1"/>
  <c r="M290" i="8" s="1"/>
  <c r="M297" i="8"/>
  <c r="M274" i="8" a="1"/>
  <c r="M275" i="8" s="1"/>
  <c r="M258" i="8" a="1"/>
  <c r="M258" i="8" s="1"/>
  <c r="M242" i="8" a="1"/>
  <c r="M243" i="8" s="1"/>
  <c r="M242" i="8"/>
  <c r="M226" i="8" a="1"/>
  <c r="M226" i="8" s="1"/>
  <c r="M210" i="8" a="1"/>
  <c r="M215" i="8" s="1"/>
  <c r="M194" i="8" a="1"/>
  <c r="M195" i="8" s="1"/>
  <c r="M178" i="8" a="1"/>
  <c r="M180" i="8" s="1"/>
  <c r="M162" i="8" a="1"/>
  <c r="M163" i="8" s="1"/>
  <c r="M146" i="8" a="1"/>
  <c r="M151" i="8" s="1"/>
  <c r="M130" i="8" a="1"/>
  <c r="M132" i="8" s="1"/>
  <c r="M114" i="8" a="1"/>
  <c r="M115" i="8" s="1"/>
  <c r="M119" i="8"/>
  <c r="M120" i="8"/>
  <c r="M98" i="8" a="1"/>
  <c r="M99" i="8" s="1"/>
  <c r="M82" i="8" a="1"/>
  <c r="M83" i="8" s="1"/>
  <c r="M66" i="8" a="1"/>
  <c r="M66" i="8" s="1"/>
  <c r="M50" i="8" a="1"/>
  <c r="M55" i="8" s="1"/>
  <c r="M34" i="8" a="1"/>
  <c r="M34" i="8" s="1"/>
  <c r="M40" i="8"/>
  <c r="M41" i="8"/>
  <c r="M49" i="8"/>
  <c r="M18" i="8" a="1"/>
  <c r="M19" i="8" s="1"/>
  <c r="M2" i="8" a="1"/>
  <c r="M2" i="8" s="1"/>
  <c r="L418" i="8" a="1"/>
  <c r="L419" i="8" s="1"/>
  <c r="L402" i="8" a="1"/>
  <c r="L403" i="8" s="1"/>
  <c r="L386" i="8" a="1"/>
  <c r="L387" i="8" s="1"/>
  <c r="L370" i="8" a="1"/>
  <c r="L371" i="8" s="1"/>
  <c r="L370" i="8"/>
  <c r="L377" i="8"/>
  <c r="L378" i="8"/>
  <c r="L385" i="8"/>
  <c r="L354" i="8" a="1"/>
  <c r="L355" i="8" s="1"/>
  <c r="L338" i="8" a="1"/>
  <c r="L339" i="8" s="1"/>
  <c r="L322" i="8" a="1"/>
  <c r="L323" i="8" s="1"/>
  <c r="L306" i="8" a="1"/>
  <c r="L307" i="8" s="1"/>
  <c r="L314" i="8"/>
  <c r="L290" i="8" a="1"/>
  <c r="L291" i="8" s="1"/>
  <c r="L274" i="8" a="1"/>
  <c r="L277" i="8" s="1"/>
  <c r="L258" i="8" a="1"/>
  <c r="L259" i="8" s="1"/>
  <c r="L242" i="8" a="1"/>
  <c r="L243" i="8" s="1"/>
  <c r="L226" i="8" a="1"/>
  <c r="L227" i="8" s="1"/>
  <c r="L210" i="8" a="1"/>
  <c r="L211" i="8" s="1"/>
  <c r="L194" i="8" a="1"/>
  <c r="L197" i="8" s="1"/>
  <c r="L178" i="8" a="1"/>
  <c r="L179" i="8" s="1"/>
  <c r="L162" i="8" a="1"/>
  <c r="L163" i="8" s="1"/>
  <c r="L146" i="8" a="1"/>
  <c r="L146" i="8" s="1"/>
  <c r="L114" i="8" a="1"/>
  <c r="L114" i="8" s="1"/>
  <c r="L130" i="8" a="1"/>
  <c r="L130" i="8" s="1"/>
  <c r="L98" i="8" a="1"/>
  <c r="L99" i="8" s="1"/>
  <c r="L82" i="8" a="1"/>
  <c r="L83" i="8" s="1"/>
  <c r="L66" i="8" a="1"/>
  <c r="L66" i="8" s="1"/>
  <c r="L50" i="8" a="1"/>
  <c r="L51" i="8" s="1"/>
  <c r="L34" i="8" a="1"/>
  <c r="L35" i="8" s="1"/>
  <c r="L18" i="8" a="1"/>
  <c r="L19" i="8" s="1"/>
  <c r="L2" i="8" a="1"/>
  <c r="L2" i="8" s="1"/>
  <c r="E79" i="8" l="1"/>
  <c r="E113" i="8"/>
  <c r="E121" i="8"/>
  <c r="M128" i="8"/>
  <c r="M135" i="8"/>
  <c r="E78" i="8"/>
  <c r="E112" i="8"/>
  <c r="E120" i="8"/>
  <c r="E238" i="8"/>
  <c r="M127" i="8"/>
  <c r="M134" i="8"/>
  <c r="M248" i="8"/>
  <c r="M353" i="8"/>
  <c r="M409" i="8"/>
  <c r="E74" i="8"/>
  <c r="E111" i="8"/>
  <c r="E119" i="8"/>
  <c r="E177" i="8"/>
  <c r="E178" i="8"/>
  <c r="E234" i="8"/>
  <c r="E273" i="8"/>
  <c r="E298" i="8"/>
  <c r="E329" i="8"/>
  <c r="E385" i="8"/>
  <c r="E391" i="8"/>
  <c r="M129" i="8"/>
  <c r="M136" i="8"/>
  <c r="M250" i="8"/>
  <c r="M122" i="8"/>
  <c r="M131" i="8"/>
  <c r="M247" i="8"/>
  <c r="M352" i="8"/>
  <c r="M402" i="8"/>
  <c r="E73" i="8"/>
  <c r="E110" i="8"/>
  <c r="E117" i="8"/>
  <c r="E176" i="8"/>
  <c r="E233" i="8"/>
  <c r="E272" i="8"/>
  <c r="E297" i="8"/>
  <c r="E328" i="8"/>
  <c r="E384" i="8"/>
  <c r="E390" i="8"/>
  <c r="M121" i="8"/>
  <c r="M130" i="8"/>
  <c r="M246" i="8"/>
  <c r="M351" i="8"/>
  <c r="E72" i="8"/>
  <c r="E106" i="8"/>
  <c r="E114" i="8"/>
  <c r="E175" i="8"/>
  <c r="E232" i="8"/>
  <c r="E271" i="8"/>
  <c r="E296" i="8"/>
  <c r="E327" i="8"/>
  <c r="E382" i="8"/>
  <c r="E389" i="8"/>
  <c r="E174" i="8"/>
  <c r="E70" i="8"/>
  <c r="E104" i="8"/>
  <c r="E145" i="8"/>
  <c r="E169" i="8"/>
  <c r="E230" i="8"/>
  <c r="E377" i="8"/>
  <c r="E417" i="8"/>
  <c r="M345" i="8"/>
  <c r="M425" i="8"/>
  <c r="E66" i="8"/>
  <c r="E103" i="8"/>
  <c r="E144" i="8"/>
  <c r="E168" i="8"/>
  <c r="E222" i="8"/>
  <c r="E226" i="8"/>
  <c r="E265" i="8"/>
  <c r="E290" i="8"/>
  <c r="E369" i="8"/>
  <c r="E376" i="8"/>
  <c r="E416" i="8"/>
  <c r="E102" i="8"/>
  <c r="E167" i="8"/>
  <c r="E368" i="8"/>
  <c r="E374" i="8"/>
  <c r="E415" i="8"/>
  <c r="L306" i="8"/>
  <c r="M145" i="8"/>
  <c r="M305" i="8"/>
  <c r="M343" i="8"/>
  <c r="E97" i="8"/>
  <c r="E98" i="8"/>
  <c r="E142" i="8"/>
  <c r="E166" i="8"/>
  <c r="E217" i="8"/>
  <c r="E257" i="8"/>
  <c r="E263" i="8"/>
  <c r="E321" i="8"/>
  <c r="E367" i="8"/>
  <c r="E370" i="8"/>
  <c r="E414" i="8"/>
  <c r="E410" i="8"/>
  <c r="E94" i="8"/>
  <c r="E129" i="8"/>
  <c r="E137" i="8"/>
  <c r="E193" i="8"/>
  <c r="E214" i="8"/>
  <c r="E254" i="8"/>
  <c r="E258" i="8"/>
  <c r="E313" i="8"/>
  <c r="E362" i="8"/>
  <c r="E401" i="8"/>
  <c r="E409" i="8"/>
  <c r="M142" i="8"/>
  <c r="M257" i="8"/>
  <c r="M321" i="8"/>
  <c r="E128" i="8"/>
  <c r="E136" i="8"/>
  <c r="E210" i="8"/>
  <c r="E250" i="8"/>
  <c r="E312" i="8"/>
  <c r="E361" i="8"/>
  <c r="E400" i="8"/>
  <c r="E408" i="8"/>
  <c r="M139" i="8"/>
  <c r="M256" i="8"/>
  <c r="M320" i="8"/>
  <c r="E127" i="8"/>
  <c r="E135" i="8"/>
  <c r="E249" i="8"/>
  <c r="E360" i="8"/>
  <c r="E399" i="8"/>
  <c r="E407" i="8"/>
  <c r="E81" i="8"/>
  <c r="E86" i="8"/>
  <c r="E125" i="8"/>
  <c r="E134" i="8"/>
  <c r="E186" i="8"/>
  <c r="E241" i="8"/>
  <c r="E248" i="8"/>
  <c r="E305" i="8"/>
  <c r="E337" i="8"/>
  <c r="E359" i="8"/>
  <c r="E398" i="8"/>
  <c r="E406" i="8"/>
  <c r="M144" i="8"/>
  <c r="M143" i="8"/>
  <c r="M138" i="8"/>
  <c r="M255" i="8"/>
  <c r="M313" i="8"/>
  <c r="M137" i="8"/>
  <c r="M254" i="8"/>
  <c r="M312" i="8"/>
  <c r="E80" i="8"/>
  <c r="E122" i="8"/>
  <c r="E130" i="8"/>
  <c r="E185" i="8"/>
  <c r="E240" i="8"/>
  <c r="E246" i="8"/>
  <c r="E304" i="8"/>
  <c r="E336" i="8"/>
  <c r="E358" i="8"/>
  <c r="E397" i="8"/>
  <c r="E402" i="8"/>
  <c r="M114" i="8"/>
  <c r="E239" i="8"/>
  <c r="E335" i="8"/>
  <c r="M249" i="8"/>
  <c r="E334" i="8"/>
  <c r="E433" i="8"/>
  <c r="E424" i="8"/>
  <c r="E423" i="8"/>
  <c r="E430" i="8"/>
  <c r="E422" i="8"/>
  <c r="E429" i="8"/>
  <c r="E421" i="8"/>
  <c r="E428" i="8"/>
  <c r="E420" i="8"/>
  <c r="E425" i="8"/>
  <c r="E432" i="8"/>
  <c r="E431" i="8"/>
  <c r="E427" i="8"/>
  <c r="E419" i="8"/>
  <c r="E426" i="8"/>
  <c r="E413" i="8"/>
  <c r="E405" i="8"/>
  <c r="E412" i="8"/>
  <c r="E404" i="8"/>
  <c r="E411" i="8"/>
  <c r="E396" i="8"/>
  <c r="E388" i="8"/>
  <c r="E395" i="8"/>
  <c r="E387" i="8"/>
  <c r="E394" i="8"/>
  <c r="E383" i="8"/>
  <c r="E375" i="8"/>
  <c r="E381" i="8"/>
  <c r="E373" i="8"/>
  <c r="E380" i="8"/>
  <c r="E372" i="8"/>
  <c r="E379" i="8"/>
  <c r="E365" i="8"/>
  <c r="E357" i="8"/>
  <c r="E364" i="8"/>
  <c r="E356" i="8"/>
  <c r="E363" i="8"/>
  <c r="E344" i="8"/>
  <c r="E351" i="8"/>
  <c r="E343" i="8"/>
  <c r="E353" i="8"/>
  <c r="E352" i="8"/>
  <c r="E350" i="8"/>
  <c r="E342" i="8"/>
  <c r="E341" i="8"/>
  <c r="E348" i="8"/>
  <c r="E340" i="8"/>
  <c r="E349" i="8"/>
  <c r="E347" i="8"/>
  <c r="E339" i="8"/>
  <c r="E345" i="8"/>
  <c r="E346" i="8"/>
  <c r="E326" i="8"/>
  <c r="E333" i="8"/>
  <c r="E325" i="8"/>
  <c r="E332" i="8"/>
  <c r="E324" i="8"/>
  <c r="E331" i="8"/>
  <c r="E323" i="8"/>
  <c r="E330" i="8"/>
  <c r="E319" i="8"/>
  <c r="E311" i="8"/>
  <c r="E318" i="8"/>
  <c r="E310" i="8"/>
  <c r="E317" i="8"/>
  <c r="E309" i="8"/>
  <c r="E316" i="8"/>
  <c r="E308" i="8"/>
  <c r="E315" i="8"/>
  <c r="E307" i="8"/>
  <c r="E314" i="8"/>
  <c r="E302" i="8"/>
  <c r="E294" i="8"/>
  <c r="E300" i="8"/>
  <c r="E292" i="8"/>
  <c r="E299" i="8"/>
  <c r="E280" i="8"/>
  <c r="E287" i="8"/>
  <c r="E279" i="8"/>
  <c r="E281" i="8"/>
  <c r="E288" i="8"/>
  <c r="E286" i="8"/>
  <c r="E278" i="8"/>
  <c r="E277" i="8"/>
  <c r="E284" i="8"/>
  <c r="E276" i="8"/>
  <c r="E289" i="8"/>
  <c r="E285" i="8"/>
  <c r="E283" i="8"/>
  <c r="E275" i="8"/>
  <c r="E282" i="8"/>
  <c r="E269" i="8"/>
  <c r="E261" i="8"/>
  <c r="E268" i="8"/>
  <c r="E260" i="8"/>
  <c r="E267" i="8"/>
  <c r="E255" i="8"/>
  <c r="E247" i="8"/>
  <c r="E253" i="8"/>
  <c r="E245" i="8"/>
  <c r="E252" i="8"/>
  <c r="E244" i="8"/>
  <c r="E251" i="8"/>
  <c r="E237" i="8"/>
  <c r="E229" i="8"/>
  <c r="E236" i="8"/>
  <c r="E228" i="8"/>
  <c r="E235" i="8"/>
  <c r="E223" i="8"/>
  <c r="E215" i="8"/>
  <c r="E221" i="8"/>
  <c r="E213" i="8"/>
  <c r="E220" i="8"/>
  <c r="E212" i="8"/>
  <c r="E219" i="8"/>
  <c r="E202" i="8"/>
  <c r="E209" i="8"/>
  <c r="E201" i="8"/>
  <c r="E208" i="8"/>
  <c r="E200" i="8"/>
  <c r="E207" i="8"/>
  <c r="E199" i="8"/>
  <c r="E197" i="8"/>
  <c r="E194" i="8"/>
  <c r="E206" i="8"/>
  <c r="E205" i="8"/>
  <c r="E204" i="8"/>
  <c r="E196" i="8"/>
  <c r="E198" i="8"/>
  <c r="E203" i="8"/>
  <c r="E191" i="8"/>
  <c r="E183" i="8"/>
  <c r="E189" i="8"/>
  <c r="E181" i="8"/>
  <c r="E188" i="8"/>
  <c r="E180" i="8"/>
  <c r="E187" i="8"/>
  <c r="E173" i="8"/>
  <c r="E165" i="8"/>
  <c r="E172" i="8"/>
  <c r="E164" i="8"/>
  <c r="E171" i="8"/>
  <c r="E163" i="8"/>
  <c r="E170" i="8"/>
  <c r="E153" i="8"/>
  <c r="E151" i="8"/>
  <c r="E158" i="8"/>
  <c r="E150" i="8"/>
  <c r="E152" i="8"/>
  <c r="E159" i="8"/>
  <c r="E157" i="8"/>
  <c r="E149" i="8"/>
  <c r="E156" i="8"/>
  <c r="E148" i="8"/>
  <c r="E161" i="8"/>
  <c r="E160" i="8"/>
  <c r="E155" i="8"/>
  <c r="E147" i="8"/>
  <c r="E154" i="8"/>
  <c r="E141" i="8"/>
  <c r="E133" i="8"/>
  <c r="E140" i="8"/>
  <c r="E132" i="8"/>
  <c r="E139" i="8"/>
  <c r="E126" i="8"/>
  <c r="E118" i="8"/>
  <c r="E124" i="8"/>
  <c r="E116" i="8"/>
  <c r="E123" i="8"/>
  <c r="E109" i="8"/>
  <c r="E101" i="8"/>
  <c r="E108" i="8"/>
  <c r="E100" i="8"/>
  <c r="E107" i="8"/>
  <c r="E96" i="8"/>
  <c r="E88" i="8"/>
  <c r="E93" i="8"/>
  <c r="E85" i="8"/>
  <c r="E92" i="8"/>
  <c r="E84" i="8"/>
  <c r="E91" i="8"/>
  <c r="E83" i="8"/>
  <c r="E90" i="8"/>
  <c r="E77" i="8"/>
  <c r="E69" i="8"/>
  <c r="E76" i="8"/>
  <c r="E68" i="8"/>
  <c r="E75" i="8"/>
  <c r="E64" i="8"/>
  <c r="E56" i="8"/>
  <c r="E54" i="8"/>
  <c r="E61" i="8"/>
  <c r="E53" i="8"/>
  <c r="E65" i="8"/>
  <c r="E62" i="8"/>
  <c r="E60" i="8"/>
  <c r="E52" i="8"/>
  <c r="E57" i="8"/>
  <c r="E55" i="8"/>
  <c r="E59" i="8"/>
  <c r="E51" i="8"/>
  <c r="E63" i="8"/>
  <c r="E58" i="8"/>
  <c r="E48" i="8"/>
  <c r="E39" i="8"/>
  <c r="E46" i="8"/>
  <c r="E38" i="8"/>
  <c r="E34" i="8"/>
  <c r="E49" i="8"/>
  <c r="E45" i="8"/>
  <c r="E37" i="8"/>
  <c r="E42" i="8"/>
  <c r="E47" i="8"/>
  <c r="E44" i="8"/>
  <c r="E36" i="8"/>
  <c r="E41" i="8"/>
  <c r="E40" i="8"/>
  <c r="E43" i="8"/>
  <c r="E26" i="8"/>
  <c r="E33" i="8"/>
  <c r="E25" i="8"/>
  <c r="E32" i="8"/>
  <c r="E24" i="8"/>
  <c r="E31" i="8"/>
  <c r="E23" i="8"/>
  <c r="E30" i="8"/>
  <c r="E21" i="8"/>
  <c r="E28" i="8"/>
  <c r="E20" i="8"/>
  <c r="E18" i="8"/>
  <c r="E22" i="8"/>
  <c r="E29" i="8"/>
  <c r="E27" i="8"/>
  <c r="E15" i="8"/>
  <c r="E7" i="8"/>
  <c r="E14" i="8"/>
  <c r="E6" i="8"/>
  <c r="E9" i="8"/>
  <c r="E5" i="8"/>
  <c r="E12" i="8"/>
  <c r="E4" i="8"/>
  <c r="E17" i="8"/>
  <c r="E16" i="8"/>
  <c r="E13" i="8"/>
  <c r="E11" i="8"/>
  <c r="E3" i="8"/>
  <c r="E8" i="8"/>
  <c r="E10" i="8"/>
  <c r="M432" i="8"/>
  <c r="M424" i="8"/>
  <c r="M430" i="8"/>
  <c r="M422" i="8"/>
  <c r="M429" i="8"/>
  <c r="M421" i="8"/>
  <c r="M428" i="8"/>
  <c r="M420" i="8"/>
  <c r="M427" i="8"/>
  <c r="M419" i="8"/>
  <c r="M426" i="8"/>
  <c r="M408" i="8"/>
  <c r="M415" i="8"/>
  <c r="M407" i="8"/>
  <c r="M406" i="8"/>
  <c r="M413" i="8"/>
  <c r="M405" i="8"/>
  <c r="M414" i="8"/>
  <c r="M412" i="8"/>
  <c r="M404" i="8"/>
  <c r="M416" i="8"/>
  <c r="M411" i="8"/>
  <c r="M394" i="8"/>
  <c r="M400" i="8"/>
  <c r="M392" i="8"/>
  <c r="M399" i="8"/>
  <c r="M391" i="8"/>
  <c r="M386" i="8"/>
  <c r="M393" i="8"/>
  <c r="M390" i="8"/>
  <c r="M397" i="8"/>
  <c r="M389" i="8"/>
  <c r="M398" i="8"/>
  <c r="M396" i="8"/>
  <c r="M388" i="8"/>
  <c r="M401" i="8"/>
  <c r="M395" i="8"/>
  <c r="M371" i="8"/>
  <c r="M377" i="8"/>
  <c r="M384" i="8"/>
  <c r="M376" i="8"/>
  <c r="M380" i="8"/>
  <c r="M379" i="8"/>
  <c r="M385" i="8"/>
  <c r="M383" i="8"/>
  <c r="M375" i="8"/>
  <c r="M382" i="8"/>
  <c r="M374" i="8"/>
  <c r="M381" i="8"/>
  <c r="M373" i="8"/>
  <c r="M372" i="8"/>
  <c r="M378" i="8"/>
  <c r="M368" i="8"/>
  <c r="M360" i="8"/>
  <c r="M363" i="8"/>
  <c r="M355" i="8"/>
  <c r="M362" i="8"/>
  <c r="M354" i="8"/>
  <c r="M369" i="8"/>
  <c r="M361" i="8"/>
  <c r="M367" i="8"/>
  <c r="M359" i="8"/>
  <c r="M366" i="8"/>
  <c r="M358" i="8"/>
  <c r="M365" i="8"/>
  <c r="M357" i="8"/>
  <c r="M364" i="8"/>
  <c r="M349" i="8"/>
  <c r="M341" i="8"/>
  <c r="M348" i="8"/>
  <c r="M340" i="8"/>
  <c r="M347" i="8"/>
  <c r="M337" i="8"/>
  <c r="M336" i="8"/>
  <c r="M335" i="8"/>
  <c r="M334" i="8"/>
  <c r="M326" i="8"/>
  <c r="M327" i="8"/>
  <c r="M333" i="8"/>
  <c r="M325" i="8"/>
  <c r="M324" i="8"/>
  <c r="M331" i="8"/>
  <c r="M323" i="8"/>
  <c r="M329" i="8"/>
  <c r="M328" i="8"/>
  <c r="M332" i="8"/>
  <c r="M330" i="8"/>
  <c r="M319" i="8"/>
  <c r="M309" i="8"/>
  <c r="M316" i="8"/>
  <c r="M308" i="8"/>
  <c r="M311" i="8"/>
  <c r="M318" i="8"/>
  <c r="M317" i="8"/>
  <c r="M315" i="8"/>
  <c r="M307" i="8"/>
  <c r="M310" i="8"/>
  <c r="M314" i="8"/>
  <c r="M296" i="8"/>
  <c r="M302" i="8"/>
  <c r="M294" i="8"/>
  <c r="M303" i="8"/>
  <c r="M301" i="8"/>
  <c r="M293" i="8"/>
  <c r="M300" i="8"/>
  <c r="M292" i="8"/>
  <c r="M295" i="8"/>
  <c r="M299" i="8"/>
  <c r="M291" i="8"/>
  <c r="M304" i="8"/>
  <c r="M298" i="8"/>
  <c r="M288" i="8"/>
  <c r="M280" i="8"/>
  <c r="M282" i="8"/>
  <c r="M281" i="8"/>
  <c r="M279" i="8"/>
  <c r="M278" i="8"/>
  <c r="M285" i="8"/>
  <c r="M277" i="8"/>
  <c r="M289" i="8"/>
  <c r="M286" i="8"/>
  <c r="M284" i="8"/>
  <c r="M276" i="8"/>
  <c r="M274" i="8"/>
  <c r="M287" i="8"/>
  <c r="M283" i="8"/>
  <c r="M269" i="8"/>
  <c r="M261" i="8"/>
  <c r="M265" i="8"/>
  <c r="M264" i="8"/>
  <c r="M271" i="8"/>
  <c r="M268" i="8"/>
  <c r="M260" i="8"/>
  <c r="M262" i="8"/>
  <c r="M267" i="8"/>
  <c r="M259" i="8"/>
  <c r="M273" i="8"/>
  <c r="M272" i="8"/>
  <c r="M263" i="8"/>
  <c r="M270" i="8"/>
  <c r="M266" i="8"/>
  <c r="M253" i="8"/>
  <c r="M245" i="8"/>
  <c r="M252" i="8"/>
  <c r="M244" i="8"/>
  <c r="M251" i="8"/>
  <c r="M240" i="8"/>
  <c r="M239" i="8"/>
  <c r="M230" i="8"/>
  <c r="M237" i="8"/>
  <c r="M229" i="8"/>
  <c r="M238" i="8"/>
  <c r="M236" i="8"/>
  <c r="M228" i="8"/>
  <c r="M241" i="8"/>
  <c r="M232" i="8"/>
  <c r="M235" i="8"/>
  <c r="M227" i="8"/>
  <c r="M233" i="8"/>
  <c r="M231" i="8"/>
  <c r="M234" i="8"/>
  <c r="M224" i="8"/>
  <c r="M216" i="8"/>
  <c r="M222" i="8"/>
  <c r="M214" i="8"/>
  <c r="M221" i="8"/>
  <c r="M213" i="8"/>
  <c r="M220" i="8"/>
  <c r="M212" i="8"/>
  <c r="M219" i="8"/>
  <c r="M211" i="8"/>
  <c r="M218" i="8"/>
  <c r="M210" i="8"/>
  <c r="M225" i="8"/>
  <c r="M217" i="8"/>
  <c r="M223" i="8"/>
  <c r="M194" i="8"/>
  <c r="M208" i="8"/>
  <c r="M200" i="8"/>
  <c r="M207" i="8"/>
  <c r="M198" i="8"/>
  <c r="M205" i="8"/>
  <c r="M197" i="8"/>
  <c r="M202" i="8"/>
  <c r="M209" i="8"/>
  <c r="M206" i="8"/>
  <c r="M204" i="8"/>
  <c r="M196" i="8"/>
  <c r="M201" i="8"/>
  <c r="M199" i="8"/>
  <c r="M203" i="8"/>
  <c r="M186" i="8"/>
  <c r="M193" i="8"/>
  <c r="M185" i="8"/>
  <c r="M192" i="8"/>
  <c r="M184" i="8"/>
  <c r="M179" i="8"/>
  <c r="M183" i="8"/>
  <c r="M190" i="8"/>
  <c r="M182" i="8"/>
  <c r="M191" i="8"/>
  <c r="M189" i="8"/>
  <c r="M181" i="8"/>
  <c r="M187" i="8"/>
  <c r="M178" i="8"/>
  <c r="M188" i="8"/>
  <c r="M170" i="8"/>
  <c r="M176" i="8"/>
  <c r="M177" i="8"/>
  <c r="M167" i="8"/>
  <c r="M166" i="8"/>
  <c r="M173" i="8"/>
  <c r="M165" i="8"/>
  <c r="M162" i="8"/>
  <c r="M169" i="8"/>
  <c r="M175" i="8"/>
  <c r="M172" i="8"/>
  <c r="M164" i="8"/>
  <c r="M168" i="8"/>
  <c r="M174" i="8"/>
  <c r="M171" i="8"/>
  <c r="M160" i="8"/>
  <c r="M152" i="8"/>
  <c r="M158" i="8"/>
  <c r="M150" i="8"/>
  <c r="M157" i="8"/>
  <c r="M149" i="8"/>
  <c r="M156" i="8"/>
  <c r="M148" i="8"/>
  <c r="M155" i="8"/>
  <c r="M147" i="8"/>
  <c r="M154" i="8"/>
  <c r="M146" i="8"/>
  <c r="M161" i="8"/>
  <c r="M153" i="8"/>
  <c r="M159" i="8"/>
  <c r="M141" i="8"/>
  <c r="M133" i="8"/>
  <c r="M140" i="8"/>
  <c r="M118" i="8"/>
  <c r="M125" i="8"/>
  <c r="M117" i="8"/>
  <c r="M124" i="8"/>
  <c r="M116" i="8"/>
  <c r="M126" i="8"/>
  <c r="M123" i="8"/>
  <c r="M98" i="8"/>
  <c r="M113" i="8"/>
  <c r="M112" i="8"/>
  <c r="M103" i="8"/>
  <c r="M102" i="8"/>
  <c r="M109" i="8"/>
  <c r="M101" i="8"/>
  <c r="M106" i="8"/>
  <c r="M111" i="8"/>
  <c r="M110" i="8"/>
  <c r="M108" i="8"/>
  <c r="M100" i="8"/>
  <c r="M105" i="8"/>
  <c r="M104" i="8"/>
  <c r="M107" i="8"/>
  <c r="M82" i="8"/>
  <c r="M89" i="8"/>
  <c r="M88" i="8"/>
  <c r="M95" i="8"/>
  <c r="M86" i="8"/>
  <c r="M93" i="8"/>
  <c r="M85" i="8"/>
  <c r="M97" i="8"/>
  <c r="M87" i="8"/>
  <c r="M94" i="8"/>
  <c r="M92" i="8"/>
  <c r="M84" i="8"/>
  <c r="M90" i="8"/>
  <c r="M96" i="8"/>
  <c r="M91" i="8"/>
  <c r="M69" i="8"/>
  <c r="M81" i="8"/>
  <c r="M80" i="8"/>
  <c r="M71" i="8"/>
  <c r="M77" i="8"/>
  <c r="M76" i="8"/>
  <c r="M68" i="8"/>
  <c r="M79" i="8"/>
  <c r="M70" i="8"/>
  <c r="M75" i="8"/>
  <c r="M67" i="8"/>
  <c r="M73" i="8"/>
  <c r="M72" i="8"/>
  <c r="M78" i="8"/>
  <c r="M74" i="8"/>
  <c r="M64" i="8"/>
  <c r="M56" i="8"/>
  <c r="M62" i="8"/>
  <c r="M54" i="8"/>
  <c r="M61" i="8"/>
  <c r="M53" i="8"/>
  <c r="M60" i="8"/>
  <c r="M52" i="8"/>
  <c r="M59" i="8"/>
  <c r="M51" i="8"/>
  <c r="M58" i="8"/>
  <c r="M50" i="8"/>
  <c r="M65" i="8"/>
  <c r="M57" i="8"/>
  <c r="M63" i="8"/>
  <c r="M38" i="8"/>
  <c r="M44" i="8"/>
  <c r="M36" i="8"/>
  <c r="M48" i="8"/>
  <c r="M39" i="8"/>
  <c r="M46" i="8"/>
  <c r="M45" i="8"/>
  <c r="M43" i="8"/>
  <c r="M35" i="8"/>
  <c r="M47" i="8"/>
  <c r="M37" i="8"/>
  <c r="M42" i="8"/>
  <c r="M18" i="8"/>
  <c r="M32" i="8"/>
  <c r="M23" i="8"/>
  <c r="M22" i="8"/>
  <c r="M29" i="8"/>
  <c r="M21" i="8"/>
  <c r="M26" i="8"/>
  <c r="M33" i="8"/>
  <c r="M30" i="8"/>
  <c r="M28" i="8"/>
  <c r="M20" i="8"/>
  <c r="M25" i="8"/>
  <c r="M24" i="8"/>
  <c r="M31" i="8"/>
  <c r="M27" i="8"/>
  <c r="M13" i="8"/>
  <c r="M5" i="8"/>
  <c r="M17" i="8"/>
  <c r="M14" i="8"/>
  <c r="M12" i="8"/>
  <c r="M4" i="8"/>
  <c r="M9" i="8"/>
  <c r="M16" i="8"/>
  <c r="M7" i="8"/>
  <c r="M6" i="8"/>
  <c r="M11" i="8"/>
  <c r="M3" i="8"/>
  <c r="M8" i="8"/>
  <c r="M15" i="8"/>
  <c r="M10" i="8"/>
  <c r="L418" i="8"/>
  <c r="L433" i="8"/>
  <c r="L424" i="8"/>
  <c r="L423" i="8"/>
  <c r="L429" i="8"/>
  <c r="L421" i="8"/>
  <c r="L426" i="8"/>
  <c r="L432" i="8"/>
  <c r="L431" i="8"/>
  <c r="L422" i="8"/>
  <c r="L428" i="8"/>
  <c r="L420" i="8"/>
  <c r="L425" i="8"/>
  <c r="L430" i="8"/>
  <c r="L427" i="8"/>
  <c r="L410" i="8"/>
  <c r="L408" i="8"/>
  <c r="L406" i="8"/>
  <c r="L413" i="8"/>
  <c r="L405" i="8"/>
  <c r="L402" i="8"/>
  <c r="L409" i="8"/>
  <c r="L416" i="8"/>
  <c r="L407" i="8"/>
  <c r="L412" i="8"/>
  <c r="L404" i="8"/>
  <c r="L417" i="8"/>
  <c r="L415" i="8"/>
  <c r="L414" i="8"/>
  <c r="L411" i="8"/>
  <c r="L386" i="8"/>
  <c r="L393" i="8"/>
  <c r="L391" i="8"/>
  <c r="L390" i="8"/>
  <c r="L397" i="8"/>
  <c r="L389" i="8"/>
  <c r="L401" i="8"/>
  <c r="L400" i="8"/>
  <c r="L392" i="8"/>
  <c r="L398" i="8"/>
  <c r="L396" i="8"/>
  <c r="L388" i="8"/>
  <c r="L394" i="8"/>
  <c r="L399" i="8"/>
  <c r="L395" i="8"/>
  <c r="L376" i="8"/>
  <c r="L374" i="8"/>
  <c r="L381" i="8"/>
  <c r="L373" i="8"/>
  <c r="L383" i="8"/>
  <c r="L382" i="8"/>
  <c r="L380" i="8"/>
  <c r="L372" i="8"/>
  <c r="L384" i="8"/>
  <c r="L375" i="8"/>
  <c r="L379" i="8"/>
  <c r="L354" i="8"/>
  <c r="L369" i="8"/>
  <c r="L368" i="8"/>
  <c r="L359" i="8"/>
  <c r="L365" i="8"/>
  <c r="L357" i="8"/>
  <c r="L361" i="8"/>
  <c r="L358" i="8"/>
  <c r="L364" i="8"/>
  <c r="L356" i="8"/>
  <c r="L362" i="8"/>
  <c r="L360" i="8"/>
  <c r="L367" i="8"/>
  <c r="L366" i="8"/>
  <c r="L363" i="8"/>
  <c r="L345" i="8"/>
  <c r="L344" i="8"/>
  <c r="L342" i="8"/>
  <c r="L349" i="8"/>
  <c r="L341" i="8"/>
  <c r="L346" i="8"/>
  <c r="L338" i="8"/>
  <c r="L351" i="8"/>
  <c r="L350" i="8"/>
  <c r="L348" i="8"/>
  <c r="L340" i="8"/>
  <c r="L353" i="8"/>
  <c r="L352" i="8"/>
  <c r="L343" i="8"/>
  <c r="L347" i="8"/>
  <c r="L330" i="8"/>
  <c r="L337" i="8"/>
  <c r="L333" i="8"/>
  <c r="L325" i="8"/>
  <c r="L322" i="8"/>
  <c r="L328" i="8"/>
  <c r="L326" i="8"/>
  <c r="L332" i="8"/>
  <c r="L324" i="8"/>
  <c r="L329" i="8"/>
  <c r="L336" i="8"/>
  <c r="L335" i="8"/>
  <c r="L327" i="8"/>
  <c r="L334" i="8"/>
  <c r="L331" i="8"/>
  <c r="L313" i="8"/>
  <c r="L309" i="8"/>
  <c r="L321" i="8"/>
  <c r="L320" i="8"/>
  <c r="L312" i="8"/>
  <c r="L319" i="8"/>
  <c r="L311" i="8"/>
  <c r="L318" i="8"/>
  <c r="L310" i="8"/>
  <c r="L317" i="8"/>
  <c r="L316" i="8"/>
  <c r="L308" i="8"/>
  <c r="L315" i="8"/>
  <c r="L298" i="8"/>
  <c r="L290" i="8"/>
  <c r="L305" i="8"/>
  <c r="L297" i="8"/>
  <c r="L304" i="8"/>
  <c r="L296" i="8"/>
  <c r="L303" i="8"/>
  <c r="L295" i="8"/>
  <c r="L302" i="8"/>
  <c r="L294" i="8"/>
  <c r="L301" i="8"/>
  <c r="L293" i="8"/>
  <c r="L300" i="8"/>
  <c r="L292" i="8"/>
  <c r="L299" i="8"/>
  <c r="L276" i="8"/>
  <c r="L279" i="8"/>
  <c r="L284" i="8"/>
  <c r="L283" i="8"/>
  <c r="L275" i="8"/>
  <c r="L282" i="8"/>
  <c r="L274" i="8"/>
  <c r="L289" i="8"/>
  <c r="L281" i="8"/>
  <c r="L288" i="8"/>
  <c r="L280" i="8"/>
  <c r="L287" i="8"/>
  <c r="L286" i="8"/>
  <c r="L278" i="8"/>
  <c r="L285" i="8"/>
  <c r="L266" i="8"/>
  <c r="L271" i="8"/>
  <c r="L262" i="8"/>
  <c r="L269" i="8"/>
  <c r="L261" i="8"/>
  <c r="L265" i="8"/>
  <c r="L272" i="8"/>
  <c r="L270" i="8"/>
  <c r="L268" i="8"/>
  <c r="L260" i="8"/>
  <c r="L258" i="8"/>
  <c r="L273" i="8"/>
  <c r="L264" i="8"/>
  <c r="L263" i="8"/>
  <c r="L267" i="8"/>
  <c r="L250" i="8"/>
  <c r="L249" i="8"/>
  <c r="L256" i="8"/>
  <c r="L246" i="8"/>
  <c r="L253" i="8"/>
  <c r="L245" i="8"/>
  <c r="L242" i="8"/>
  <c r="L257" i="8"/>
  <c r="L255" i="8"/>
  <c r="L247" i="8"/>
  <c r="L254" i="8"/>
  <c r="L252" i="8"/>
  <c r="L244" i="8"/>
  <c r="L248" i="8"/>
  <c r="L251" i="8"/>
  <c r="L234" i="8"/>
  <c r="L232" i="8"/>
  <c r="L239" i="8"/>
  <c r="L230" i="8"/>
  <c r="L237" i="8"/>
  <c r="L236" i="8"/>
  <c r="L228" i="8"/>
  <c r="L226" i="8"/>
  <c r="L241" i="8"/>
  <c r="L233" i="8"/>
  <c r="L240" i="8"/>
  <c r="L231" i="8"/>
  <c r="L238" i="8"/>
  <c r="L229" i="8"/>
  <c r="L235" i="8"/>
  <c r="L216" i="8"/>
  <c r="L223" i="8"/>
  <c r="L214" i="8"/>
  <c r="L221" i="8"/>
  <c r="L213" i="8"/>
  <c r="L218" i="8"/>
  <c r="L217" i="8"/>
  <c r="L222" i="8"/>
  <c r="L220" i="8"/>
  <c r="L212" i="8"/>
  <c r="L210" i="8"/>
  <c r="L225" i="8"/>
  <c r="L224" i="8"/>
  <c r="L215" i="8"/>
  <c r="L219" i="8"/>
  <c r="L204" i="8"/>
  <c r="L196" i="8"/>
  <c r="L203" i="8"/>
  <c r="L195" i="8"/>
  <c r="L202" i="8"/>
  <c r="L194" i="8"/>
  <c r="L209" i="8"/>
  <c r="L201" i="8"/>
  <c r="L208" i="8"/>
  <c r="L200" i="8"/>
  <c r="L207" i="8"/>
  <c r="L199" i="8"/>
  <c r="L206" i="8"/>
  <c r="L198" i="8"/>
  <c r="L205" i="8"/>
  <c r="L186" i="8"/>
  <c r="L178" i="8"/>
  <c r="L193" i="8"/>
  <c r="L185" i="8"/>
  <c r="L184" i="8"/>
  <c r="L191" i="8"/>
  <c r="L188" i="8"/>
  <c r="L180" i="8"/>
  <c r="L192" i="8"/>
  <c r="L183" i="8"/>
  <c r="L190" i="8"/>
  <c r="L182" i="8"/>
  <c r="L189" i="8"/>
  <c r="L181" i="8"/>
  <c r="L187" i="8"/>
  <c r="L170" i="8"/>
  <c r="L177" i="8"/>
  <c r="L167" i="8"/>
  <c r="L173" i="8"/>
  <c r="L165" i="8"/>
  <c r="L176" i="8"/>
  <c r="L174" i="8"/>
  <c r="L172" i="8"/>
  <c r="L164" i="8"/>
  <c r="L162" i="8"/>
  <c r="L169" i="8"/>
  <c r="L168" i="8"/>
  <c r="L175" i="8"/>
  <c r="L166" i="8"/>
  <c r="L171" i="8"/>
  <c r="L149" i="8"/>
  <c r="L153" i="8"/>
  <c r="L152" i="8"/>
  <c r="L151" i="8"/>
  <c r="L156" i="8"/>
  <c r="L148" i="8"/>
  <c r="L161" i="8"/>
  <c r="L150" i="8"/>
  <c r="L157" i="8"/>
  <c r="L155" i="8"/>
  <c r="L147" i="8"/>
  <c r="L160" i="8"/>
  <c r="L159" i="8"/>
  <c r="L158" i="8"/>
  <c r="L154" i="8"/>
  <c r="L128" i="8"/>
  <c r="L129" i="8"/>
  <c r="L120" i="8"/>
  <c r="L127" i="8"/>
  <c r="L119" i="8"/>
  <c r="L126" i="8"/>
  <c r="L118" i="8"/>
  <c r="L125" i="8"/>
  <c r="L117" i="8"/>
  <c r="L121" i="8"/>
  <c r="L124" i="8"/>
  <c r="L116" i="8"/>
  <c r="L123" i="8"/>
  <c r="L115" i="8"/>
  <c r="L122" i="8"/>
  <c r="L145" i="8"/>
  <c r="L136" i="8"/>
  <c r="L143" i="8"/>
  <c r="L142" i="8"/>
  <c r="L139" i="8"/>
  <c r="L131" i="8"/>
  <c r="L137" i="8"/>
  <c r="L144" i="8"/>
  <c r="L135" i="8"/>
  <c r="L134" i="8"/>
  <c r="L141" i="8"/>
  <c r="L133" i="8"/>
  <c r="L140" i="8"/>
  <c r="L132" i="8"/>
  <c r="L138" i="8"/>
  <c r="L101" i="8"/>
  <c r="L106" i="8"/>
  <c r="L113" i="8"/>
  <c r="L112" i="8"/>
  <c r="L111" i="8"/>
  <c r="L110" i="8"/>
  <c r="L102" i="8"/>
  <c r="L108" i="8"/>
  <c r="L100" i="8"/>
  <c r="L98" i="8"/>
  <c r="L105" i="8"/>
  <c r="L104" i="8"/>
  <c r="L103" i="8"/>
  <c r="L109" i="8"/>
  <c r="L107" i="8"/>
  <c r="L82" i="8"/>
  <c r="L97" i="8"/>
  <c r="L96" i="8"/>
  <c r="L95" i="8"/>
  <c r="L94" i="8"/>
  <c r="L93" i="8"/>
  <c r="L85" i="8"/>
  <c r="L92" i="8"/>
  <c r="L84" i="8"/>
  <c r="L90" i="8"/>
  <c r="L89" i="8"/>
  <c r="L88" i="8"/>
  <c r="L87" i="8"/>
  <c r="L86" i="8"/>
  <c r="L91" i="8"/>
  <c r="L81" i="8"/>
  <c r="L73" i="8"/>
  <c r="L80" i="8"/>
  <c r="L79" i="8"/>
  <c r="L78" i="8"/>
  <c r="L69" i="8"/>
  <c r="L68" i="8"/>
  <c r="L75" i="8"/>
  <c r="L67" i="8"/>
  <c r="L72" i="8"/>
  <c r="L71" i="8"/>
  <c r="L70" i="8"/>
  <c r="L77" i="8"/>
  <c r="L76" i="8"/>
  <c r="L74" i="8"/>
  <c r="L58" i="8"/>
  <c r="L65" i="8"/>
  <c r="L64" i="8"/>
  <c r="L55" i="8"/>
  <c r="L60" i="8"/>
  <c r="L50" i="8"/>
  <c r="L57" i="8"/>
  <c r="L56" i="8"/>
  <c r="L63" i="8"/>
  <c r="L62" i="8"/>
  <c r="L54" i="8"/>
  <c r="L61" i="8"/>
  <c r="L53" i="8"/>
  <c r="L52" i="8"/>
  <c r="L59" i="8"/>
  <c r="L42" i="8"/>
  <c r="L34" i="8"/>
  <c r="L49" i="8"/>
  <c r="L41" i="8"/>
  <c r="L48" i="8"/>
  <c r="L40" i="8"/>
  <c r="L47" i="8"/>
  <c r="L39" i="8"/>
  <c r="L46" i="8"/>
  <c r="L38" i="8"/>
  <c r="L45" i="8"/>
  <c r="L37" i="8"/>
  <c r="L44" i="8"/>
  <c r="L36" i="8"/>
  <c r="L43" i="8"/>
  <c r="L26" i="8"/>
  <c r="L18" i="8"/>
  <c r="L33" i="8"/>
  <c r="L25" i="8"/>
  <c r="L32" i="8"/>
  <c r="L24" i="8"/>
  <c r="L31" i="8"/>
  <c r="L23" i="8"/>
  <c r="L30" i="8"/>
  <c r="L22" i="8"/>
  <c r="L29" i="8"/>
  <c r="L21" i="8"/>
  <c r="L28" i="8"/>
  <c r="L20" i="8"/>
  <c r="L27" i="8"/>
  <c r="L9" i="8"/>
  <c r="L16" i="8"/>
  <c r="L15" i="8"/>
  <c r="L14" i="8"/>
  <c r="L13" i="8"/>
  <c r="L12" i="8"/>
  <c r="L11" i="8"/>
  <c r="L3" i="8"/>
  <c r="L17" i="8"/>
  <c r="L8" i="8"/>
  <c r="L7" i="8"/>
  <c r="L6" i="8"/>
  <c r="L5" i="8"/>
  <c r="L4" i="8"/>
  <c r="L10" i="8"/>
  <c r="K418" i="8" a="1"/>
  <c r="K418" i="8" s="1"/>
  <c r="K402" i="8" a="1"/>
  <c r="K402" i="8" s="1"/>
  <c r="K386" i="8" a="1"/>
  <c r="K386" i="8" s="1"/>
  <c r="K370" i="8" a="1"/>
  <c r="K370" i="8" s="1"/>
  <c r="K354" i="8" a="1"/>
  <c r="K354" i="8" s="1"/>
  <c r="K338" i="8" a="1"/>
  <c r="K338" i="8" s="1"/>
  <c r="K322" i="8" a="1"/>
  <c r="K322" i="8" s="1"/>
  <c r="K306" i="8" a="1"/>
  <c r="K306" i="8" s="1"/>
  <c r="K290" i="8" a="1"/>
  <c r="K290" i="8" s="1"/>
  <c r="K274" i="8" a="1"/>
  <c r="K274" i="8" s="1"/>
  <c r="K258" i="8" a="1"/>
  <c r="K258" i="8" s="1"/>
  <c r="K242" i="8" a="1"/>
  <c r="K242" i="8" s="1"/>
  <c r="K226" i="8" a="1"/>
  <c r="K226" i="8" s="1"/>
  <c r="K210" i="8" a="1"/>
  <c r="K210" i="8" s="1"/>
  <c r="K194" i="8" a="1"/>
  <c r="K194" i="8" s="1"/>
  <c r="K178" i="8" a="1"/>
  <c r="K178" i="8" s="1"/>
  <c r="K162" i="8" a="1"/>
  <c r="K162" i="8" s="1"/>
  <c r="K146" i="8" a="1"/>
  <c r="K146" i="8" s="1"/>
  <c r="K130" i="8" a="1"/>
  <c r="K130" i="8" s="1"/>
  <c r="K114" i="8" a="1"/>
  <c r="K114" i="8" s="1"/>
  <c r="K98" i="8" a="1"/>
  <c r="K98" i="8" s="1"/>
  <c r="K82" i="8" a="1"/>
  <c r="K82" i="8" s="1"/>
  <c r="K66" i="8" a="1"/>
  <c r="K66" i="8" s="1"/>
  <c r="K50" i="8" a="1"/>
  <c r="K50" i="8" s="1"/>
  <c r="K34" i="8" a="1"/>
  <c r="K34" i="8" s="1"/>
  <c r="K18" i="8" a="1"/>
  <c r="K18" i="8" s="1"/>
  <c r="K2" i="8" a="1"/>
  <c r="K2" i="8" s="1"/>
  <c r="H418" i="8" a="1"/>
  <c r="H418" i="8" s="1"/>
  <c r="H402" i="8" a="1"/>
  <c r="H402" i="8" s="1"/>
  <c r="H386" i="8" a="1"/>
  <c r="H386" i="8" s="1"/>
  <c r="H370" i="8" a="1"/>
  <c r="H370" i="8" s="1"/>
  <c r="H354" i="8" a="1"/>
  <c r="H354" i="8" s="1"/>
  <c r="H338" i="8" a="1"/>
  <c r="H338" i="8" s="1"/>
  <c r="H322" i="8" a="1"/>
  <c r="H322" i="8" s="1"/>
  <c r="H306" i="8" a="1"/>
  <c r="H306" i="8" s="1"/>
  <c r="H290" i="8" a="1"/>
  <c r="H290" i="8" s="1"/>
  <c r="H274" i="8" a="1"/>
  <c r="H274" i="8" s="1"/>
  <c r="H258" i="8" a="1"/>
  <c r="H258" i="8" s="1"/>
  <c r="H242" i="8" a="1"/>
  <c r="H242" i="8" s="1"/>
  <c r="H226" i="8" a="1"/>
  <c r="H226" i="8" s="1"/>
  <c r="H210" i="8" a="1"/>
  <c r="H210" i="8" s="1"/>
  <c r="H194" i="8" a="1"/>
  <c r="H194" i="8" s="1"/>
  <c r="H178" i="8" a="1"/>
  <c r="H178" i="8" s="1"/>
  <c r="H162" i="8" a="1"/>
  <c r="H162" i="8" s="1"/>
  <c r="H146" i="8" a="1"/>
  <c r="H146" i="8" s="1"/>
  <c r="H130" i="8" a="1"/>
  <c r="H130" i="8" s="1"/>
  <c r="H114" i="8" a="1"/>
  <c r="H114" i="8" s="1"/>
  <c r="H98" i="8" a="1"/>
  <c r="H98" i="8" s="1"/>
  <c r="H82" i="8" a="1"/>
  <c r="H82" i="8" s="1"/>
  <c r="H66" i="8" a="1"/>
  <c r="H66" i="8" s="1"/>
  <c r="H50" i="8" a="1"/>
  <c r="H50" i="8" s="1"/>
  <c r="H34" i="8" a="1"/>
  <c r="H34" i="8" s="1"/>
  <c r="H18" i="8" a="1"/>
  <c r="H18" i="8" s="1"/>
  <c r="H2" i="8" a="1"/>
  <c r="H2" i="8" s="1"/>
  <c r="C418" i="8" a="1"/>
  <c r="C419" i="8" s="1"/>
  <c r="C402" i="8" a="1"/>
  <c r="C407" i="8" s="1"/>
  <c r="C386" i="8" a="1"/>
  <c r="C387" i="8" s="1"/>
  <c r="C370" i="8" a="1"/>
  <c r="C371" i="8" s="1"/>
  <c r="C354" i="8" a="1"/>
  <c r="C354" i="8" s="1"/>
  <c r="C338" i="8" a="1"/>
  <c r="C343" i="8" s="1"/>
  <c r="C322" i="8" a="1"/>
  <c r="C327" i="8" s="1"/>
  <c r="C306" i="8" a="1"/>
  <c r="C307" i="8" s="1"/>
  <c r="C290" i="8" a="1"/>
  <c r="C292" i="8" s="1"/>
  <c r="C274" i="8" a="1"/>
  <c r="C274" i="8" s="1"/>
  <c r="C258" i="8" a="1"/>
  <c r="C259" i="8" s="1"/>
  <c r="C242" i="8" a="1"/>
  <c r="C244" i="8" s="1"/>
  <c r="C226" i="8" a="1"/>
  <c r="C227" i="8" s="1"/>
  <c r="C210" i="8" a="1"/>
  <c r="C211" i="8" s="1"/>
  <c r="C194" i="8" a="1"/>
  <c r="C195" i="8" s="1"/>
  <c r="C178" i="8" a="1"/>
  <c r="C178" i="8" s="1"/>
  <c r="C162" i="8" a="1"/>
  <c r="C164" i="8" s="1"/>
  <c r="C146" i="8" a="1"/>
  <c r="C147" i="8" s="1"/>
  <c r="C130" i="8" a="1"/>
  <c r="C132" i="8" s="1"/>
  <c r="C114" i="8" a="1"/>
  <c r="C115" i="8" s="1"/>
  <c r="C98" i="8" a="1"/>
  <c r="C99" i="8" s="1"/>
  <c r="C82" i="8" a="1"/>
  <c r="C82" i="8" s="1"/>
  <c r="C66" i="8" a="1"/>
  <c r="C68" i="8" s="1"/>
  <c r="C50" i="8" a="1"/>
  <c r="C51" i="8" s="1"/>
  <c r="C34" i="8" a="1"/>
  <c r="C35" i="8" s="1"/>
  <c r="C18" i="8" a="1"/>
  <c r="C20" i="8" s="1"/>
  <c r="C2" i="8" a="1"/>
  <c r="C3" i="8" s="1"/>
  <c r="C430" i="8" l="1"/>
  <c r="C422" i="8"/>
  <c r="C426" i="8"/>
  <c r="C433" i="8"/>
  <c r="C424" i="8"/>
  <c r="C431" i="8"/>
  <c r="C421" i="8"/>
  <c r="C428" i="8"/>
  <c r="C420" i="8"/>
  <c r="C418" i="8"/>
  <c r="C425" i="8"/>
  <c r="C432" i="8"/>
  <c r="C423" i="8"/>
  <c r="C429" i="8"/>
  <c r="C427" i="8"/>
  <c r="C416" i="8"/>
  <c r="C408" i="8"/>
  <c r="C414" i="8"/>
  <c r="C406" i="8"/>
  <c r="C413" i="8"/>
  <c r="C405" i="8"/>
  <c r="C412" i="8"/>
  <c r="C404" i="8"/>
  <c r="C411" i="8"/>
  <c r="C403" i="8"/>
  <c r="C410" i="8"/>
  <c r="C402" i="8"/>
  <c r="C417" i="8"/>
  <c r="C409" i="8"/>
  <c r="C415" i="8"/>
  <c r="C394" i="8"/>
  <c r="C386" i="8"/>
  <c r="C401" i="8"/>
  <c r="C393" i="8"/>
  <c r="C400" i="8"/>
  <c r="C399" i="8"/>
  <c r="C396" i="8"/>
  <c r="C388" i="8"/>
  <c r="C392" i="8"/>
  <c r="C391" i="8"/>
  <c r="C398" i="8"/>
  <c r="C390" i="8"/>
  <c r="C397" i="8"/>
  <c r="C389" i="8"/>
  <c r="C395" i="8"/>
  <c r="C378" i="8"/>
  <c r="C370" i="8"/>
  <c r="C385" i="8"/>
  <c r="C377" i="8"/>
  <c r="C384" i="8"/>
  <c r="C372" i="8"/>
  <c r="C376" i="8"/>
  <c r="C383" i="8"/>
  <c r="C375" i="8"/>
  <c r="C382" i="8"/>
  <c r="C374" i="8"/>
  <c r="C381" i="8"/>
  <c r="C373" i="8"/>
  <c r="C380" i="8"/>
  <c r="C379" i="8"/>
  <c r="C369" i="8"/>
  <c r="C361" i="8"/>
  <c r="C363" i="8"/>
  <c r="C368" i="8"/>
  <c r="C360" i="8"/>
  <c r="C367" i="8"/>
  <c r="C359" i="8"/>
  <c r="C366" i="8"/>
  <c r="C358" i="8"/>
  <c r="C365" i="8"/>
  <c r="C357" i="8"/>
  <c r="C364" i="8"/>
  <c r="C356" i="8"/>
  <c r="C355" i="8"/>
  <c r="C362" i="8"/>
  <c r="C352" i="8"/>
  <c r="C344" i="8"/>
  <c r="C350" i="8"/>
  <c r="C342" i="8"/>
  <c r="C349" i="8"/>
  <c r="C341" i="8"/>
  <c r="C348" i="8"/>
  <c r="C340" i="8"/>
  <c r="C347" i="8"/>
  <c r="C339" i="8"/>
  <c r="C346" i="8"/>
  <c r="C338" i="8"/>
  <c r="C353" i="8"/>
  <c r="C345" i="8"/>
  <c r="C351" i="8"/>
  <c r="C336" i="8"/>
  <c r="C328" i="8"/>
  <c r="C334" i="8"/>
  <c r="C326" i="8"/>
  <c r="C333" i="8"/>
  <c r="C325" i="8"/>
  <c r="C332" i="8"/>
  <c r="C324" i="8"/>
  <c r="C331" i="8"/>
  <c r="C323" i="8"/>
  <c r="C330" i="8"/>
  <c r="C322" i="8"/>
  <c r="C337" i="8"/>
  <c r="C329" i="8"/>
  <c r="C335" i="8"/>
  <c r="C312" i="8"/>
  <c r="C311" i="8"/>
  <c r="C318" i="8"/>
  <c r="C309" i="8"/>
  <c r="C316" i="8"/>
  <c r="C308" i="8"/>
  <c r="C314" i="8"/>
  <c r="C306" i="8"/>
  <c r="C321" i="8"/>
  <c r="C313" i="8"/>
  <c r="C320" i="8"/>
  <c r="C319" i="8"/>
  <c r="C310" i="8"/>
  <c r="C317" i="8"/>
  <c r="C315" i="8"/>
  <c r="C299" i="8"/>
  <c r="C291" i="8"/>
  <c r="C298" i="8"/>
  <c r="C290" i="8"/>
  <c r="C305" i="8"/>
  <c r="C297" i="8"/>
  <c r="C304" i="8"/>
  <c r="C303" i="8"/>
  <c r="C301" i="8"/>
  <c r="C293" i="8"/>
  <c r="C296" i="8"/>
  <c r="C295" i="8"/>
  <c r="C302" i="8"/>
  <c r="C294" i="8"/>
  <c r="C300" i="8"/>
  <c r="C289" i="8"/>
  <c r="C281" i="8"/>
  <c r="C280" i="8"/>
  <c r="C286" i="8"/>
  <c r="C285" i="8"/>
  <c r="C277" i="8"/>
  <c r="C276" i="8"/>
  <c r="C283" i="8"/>
  <c r="C275" i="8"/>
  <c r="C288" i="8"/>
  <c r="C287" i="8"/>
  <c r="C279" i="8"/>
  <c r="C278" i="8"/>
  <c r="C284" i="8"/>
  <c r="C282" i="8"/>
  <c r="C266" i="8"/>
  <c r="C258" i="8"/>
  <c r="C273" i="8"/>
  <c r="C265" i="8"/>
  <c r="C264" i="8"/>
  <c r="C271" i="8"/>
  <c r="C268" i="8"/>
  <c r="C260" i="8"/>
  <c r="C272" i="8"/>
  <c r="C263" i="8"/>
  <c r="C270" i="8"/>
  <c r="C262" i="8"/>
  <c r="C269" i="8"/>
  <c r="C261" i="8"/>
  <c r="C267" i="8"/>
  <c r="C251" i="8"/>
  <c r="C243" i="8"/>
  <c r="C250" i="8"/>
  <c r="C242" i="8"/>
  <c r="C257" i="8"/>
  <c r="C249" i="8"/>
  <c r="C245" i="8"/>
  <c r="C256" i="8"/>
  <c r="C248" i="8"/>
  <c r="C255" i="8"/>
  <c r="C247" i="8"/>
  <c r="C254" i="8"/>
  <c r="C246" i="8"/>
  <c r="C253" i="8"/>
  <c r="C252" i="8"/>
  <c r="C240" i="8"/>
  <c r="C231" i="8"/>
  <c r="C238" i="8"/>
  <c r="C237" i="8"/>
  <c r="C229" i="8"/>
  <c r="C236" i="8"/>
  <c r="C228" i="8"/>
  <c r="C234" i="8"/>
  <c r="C226" i="8"/>
  <c r="C241" i="8"/>
  <c r="C233" i="8"/>
  <c r="C232" i="8"/>
  <c r="C239" i="8"/>
  <c r="C230" i="8"/>
  <c r="C235" i="8"/>
  <c r="C218" i="8"/>
  <c r="C210" i="8"/>
  <c r="C225" i="8"/>
  <c r="C217" i="8"/>
  <c r="C224" i="8"/>
  <c r="C212" i="8"/>
  <c r="C216" i="8"/>
  <c r="C223" i="8"/>
  <c r="C215" i="8"/>
  <c r="C222" i="8"/>
  <c r="C214" i="8"/>
  <c r="C221" i="8"/>
  <c r="C213" i="8"/>
  <c r="C220" i="8"/>
  <c r="C219" i="8"/>
  <c r="C202" i="8"/>
  <c r="C194" i="8"/>
  <c r="C209" i="8"/>
  <c r="C201" i="8"/>
  <c r="C208" i="8"/>
  <c r="C200" i="8"/>
  <c r="C207" i="8"/>
  <c r="C199" i="8"/>
  <c r="C206" i="8"/>
  <c r="C198" i="8"/>
  <c r="C205" i="8"/>
  <c r="C197" i="8"/>
  <c r="C204" i="8"/>
  <c r="C196" i="8"/>
  <c r="C203" i="8"/>
  <c r="C184" i="8"/>
  <c r="C185" i="8"/>
  <c r="C192" i="8"/>
  <c r="C191" i="8"/>
  <c r="C182" i="8"/>
  <c r="C189" i="8"/>
  <c r="C187" i="8"/>
  <c r="C179" i="8"/>
  <c r="C193" i="8"/>
  <c r="C183" i="8"/>
  <c r="C190" i="8"/>
  <c r="C181" i="8"/>
  <c r="C188" i="8"/>
  <c r="C180" i="8"/>
  <c r="C186" i="8"/>
  <c r="C171" i="8"/>
  <c r="C163" i="8"/>
  <c r="C170" i="8"/>
  <c r="C162" i="8"/>
  <c r="C177" i="8"/>
  <c r="C169" i="8"/>
  <c r="C165" i="8"/>
  <c r="C176" i="8"/>
  <c r="C168" i="8"/>
  <c r="C175" i="8"/>
  <c r="C167" i="8"/>
  <c r="C174" i="8"/>
  <c r="C166" i="8"/>
  <c r="C173" i="8"/>
  <c r="C172" i="8"/>
  <c r="C154" i="8"/>
  <c r="C146" i="8"/>
  <c r="C161" i="8"/>
  <c r="C153" i="8"/>
  <c r="C160" i="8"/>
  <c r="C152" i="8"/>
  <c r="C159" i="8"/>
  <c r="C151" i="8"/>
  <c r="C158" i="8"/>
  <c r="C150" i="8"/>
  <c r="C157" i="8"/>
  <c r="C149" i="8"/>
  <c r="C156" i="8"/>
  <c r="C148" i="8"/>
  <c r="C155" i="8"/>
  <c r="C144" i="8"/>
  <c r="C143" i="8"/>
  <c r="C141" i="8"/>
  <c r="C133" i="8"/>
  <c r="C139" i="8"/>
  <c r="C131" i="8"/>
  <c r="C138" i="8"/>
  <c r="C130" i="8"/>
  <c r="C145" i="8"/>
  <c r="C137" i="8"/>
  <c r="C136" i="8"/>
  <c r="C135" i="8"/>
  <c r="C142" i="8"/>
  <c r="C134" i="8"/>
  <c r="C140" i="8"/>
  <c r="C128" i="8"/>
  <c r="C127" i="8"/>
  <c r="C119" i="8"/>
  <c r="C126" i="8"/>
  <c r="C118" i="8"/>
  <c r="C122" i="8"/>
  <c r="C114" i="8"/>
  <c r="C120" i="8"/>
  <c r="C124" i="8"/>
  <c r="C129" i="8"/>
  <c r="C121" i="8"/>
  <c r="C125" i="8"/>
  <c r="C117" i="8"/>
  <c r="C116" i="8"/>
  <c r="C123" i="8"/>
  <c r="C106" i="8"/>
  <c r="C98" i="8"/>
  <c r="C113" i="8"/>
  <c r="C105" i="8"/>
  <c r="C112" i="8"/>
  <c r="C104" i="8"/>
  <c r="C111" i="8"/>
  <c r="C103" i="8"/>
  <c r="C110" i="8"/>
  <c r="C102" i="8"/>
  <c r="C109" i="8"/>
  <c r="C101" i="8"/>
  <c r="C108" i="8"/>
  <c r="C100" i="8"/>
  <c r="C107" i="8"/>
  <c r="C89" i="8"/>
  <c r="C88" i="8"/>
  <c r="C87" i="8"/>
  <c r="C94" i="8"/>
  <c r="C85" i="8"/>
  <c r="C84" i="8"/>
  <c r="C91" i="8"/>
  <c r="C83" i="8"/>
  <c r="C97" i="8"/>
  <c r="C96" i="8"/>
  <c r="C95" i="8"/>
  <c r="C86" i="8"/>
  <c r="C93" i="8"/>
  <c r="C92" i="8"/>
  <c r="C90" i="8"/>
  <c r="C74" i="8"/>
  <c r="C75" i="8"/>
  <c r="C67" i="8"/>
  <c r="C66" i="8"/>
  <c r="C81" i="8"/>
  <c r="C73" i="8"/>
  <c r="C70" i="8"/>
  <c r="C80" i="8"/>
  <c r="C72" i="8"/>
  <c r="C79" i="8"/>
  <c r="C71" i="8"/>
  <c r="C78" i="8"/>
  <c r="C77" i="8"/>
  <c r="C69" i="8"/>
  <c r="C76" i="8"/>
  <c r="C58" i="8"/>
  <c r="C50" i="8"/>
  <c r="C65" i="8"/>
  <c r="C57" i="8"/>
  <c r="C56" i="8"/>
  <c r="C64" i="8"/>
  <c r="C63" i="8"/>
  <c r="C55" i="8"/>
  <c r="C62" i="8"/>
  <c r="C54" i="8"/>
  <c r="C61" i="8"/>
  <c r="C53" i="8"/>
  <c r="C60" i="8"/>
  <c r="C52" i="8"/>
  <c r="C59" i="8"/>
  <c r="C36" i="8"/>
  <c r="C42" i="8"/>
  <c r="C34" i="8"/>
  <c r="C49" i="8"/>
  <c r="C41" i="8"/>
  <c r="C48" i="8"/>
  <c r="C40" i="8"/>
  <c r="C47" i="8"/>
  <c r="C39" i="8"/>
  <c r="C46" i="8"/>
  <c r="C38" i="8"/>
  <c r="C45" i="8"/>
  <c r="C37" i="8"/>
  <c r="C44" i="8"/>
  <c r="C43" i="8"/>
  <c r="C27" i="8"/>
  <c r="C19" i="8"/>
  <c r="C26" i="8"/>
  <c r="C18" i="8"/>
  <c r="C33" i="8"/>
  <c r="C25" i="8"/>
  <c r="C32" i="8"/>
  <c r="C24" i="8"/>
  <c r="C31" i="8"/>
  <c r="C23" i="8"/>
  <c r="C30" i="8"/>
  <c r="C22" i="8"/>
  <c r="C29" i="8"/>
  <c r="C21" i="8"/>
  <c r="C28" i="8"/>
  <c r="C10" i="8"/>
  <c r="C2" i="8"/>
  <c r="C17" i="8"/>
  <c r="C9" i="8"/>
  <c r="C4" i="8"/>
  <c r="C16" i="8"/>
  <c r="C8" i="8"/>
  <c r="C15" i="8"/>
  <c r="C7" i="8"/>
  <c r="C14" i="8"/>
  <c r="C6" i="8"/>
  <c r="C13" i="8"/>
  <c r="C5" i="8"/>
  <c r="C12" i="8"/>
  <c r="C11" i="8"/>
  <c r="F418" i="8" a="1"/>
  <c r="F418" i="8" s="1"/>
  <c r="F402" i="8" a="1"/>
  <c r="F402" i="8" s="1"/>
  <c r="F386" i="8" a="1"/>
  <c r="F386" i="8" s="1"/>
  <c r="F370" i="8" a="1"/>
  <c r="F370" i="8" s="1"/>
  <c r="F354" i="8" a="1"/>
  <c r="F354" i="8" s="1"/>
  <c r="F338" i="8" a="1"/>
  <c r="F338" i="8" s="1"/>
  <c r="F322" i="8" a="1"/>
  <c r="F322" i="8" s="1"/>
  <c r="F306" i="8" a="1"/>
  <c r="F306" i="8" s="1"/>
  <c r="F290" i="8" a="1"/>
  <c r="F290" i="8" s="1"/>
  <c r="F274" i="8" a="1"/>
  <c r="F274" i="8" s="1"/>
  <c r="F258" i="8" a="1"/>
  <c r="F258" i="8" s="1"/>
  <c r="F242" i="8" a="1"/>
  <c r="F242" i="8" s="1"/>
  <c r="F226" i="8" a="1"/>
  <c r="F226" i="8" s="1"/>
  <c r="F210" i="8" a="1"/>
  <c r="F210" i="8" s="1"/>
  <c r="F194" i="8" a="1"/>
  <c r="F194" i="8" s="1"/>
  <c r="F178" i="8" a="1"/>
  <c r="F178" i="8" s="1"/>
  <c r="F162" i="8" a="1"/>
  <c r="F162" i="8" s="1"/>
  <c r="F146" i="8" a="1"/>
  <c r="F146" i="8" s="1"/>
  <c r="F130" i="8" a="1"/>
  <c r="F130" i="8" s="1"/>
  <c r="F114" i="8" a="1"/>
  <c r="F114" i="8" s="1"/>
  <c r="F98" i="8" a="1"/>
  <c r="F98" i="8" s="1"/>
  <c r="F82" i="8" a="1"/>
  <c r="F82" i="8" s="1"/>
  <c r="F66" i="8" a="1"/>
  <c r="F66" i="8" s="1"/>
  <c r="F50" i="8" a="1"/>
  <c r="F50" i="8" s="1"/>
  <c r="F34" i="8" a="1"/>
  <c r="F34" i="8" s="1"/>
  <c r="F18" i="8" a="1"/>
  <c r="F18" i="8" s="1"/>
  <c r="F2" i="8" a="1"/>
  <c r="F2" i="8" s="1"/>
  <c r="G418" i="8" a="1"/>
  <c r="G418" i="8" s="1"/>
  <c r="G402" i="8" a="1"/>
  <c r="G402" i="8" s="1"/>
  <c r="G386" i="8" a="1"/>
  <c r="G386" i="8" s="1"/>
  <c r="G370" i="8" a="1"/>
  <c r="G370" i="8" s="1"/>
  <c r="G354" i="8" a="1"/>
  <c r="G354" i="8" s="1"/>
  <c r="G338" i="8" a="1"/>
  <c r="G338" i="8" s="1"/>
  <c r="G322" i="8" a="1"/>
  <c r="G322" i="8" s="1"/>
  <c r="G306" i="8" a="1"/>
  <c r="G306" i="8" s="1"/>
  <c r="G290" i="8" a="1"/>
  <c r="G290" i="8" s="1"/>
  <c r="G274" i="8" a="1"/>
  <c r="G274" i="8" s="1"/>
  <c r="G258" i="8" a="1"/>
  <c r="G258" i="8" s="1"/>
  <c r="G242" i="8" a="1"/>
  <c r="G242" i="8" s="1"/>
  <c r="G226" i="8" a="1"/>
  <c r="G226" i="8" s="1"/>
  <c r="G210" i="8" a="1"/>
  <c r="G210" i="8" s="1"/>
  <c r="G194" i="8" a="1"/>
  <c r="G194" i="8" s="1"/>
  <c r="G178" i="8" a="1"/>
  <c r="G178" i="8" s="1"/>
  <c r="G162" i="8" a="1"/>
  <c r="G162" i="8" s="1"/>
  <c r="G146" i="8" a="1"/>
  <c r="G146" i="8" s="1"/>
  <c r="G130" i="8" a="1"/>
  <c r="G130" i="8" s="1"/>
  <c r="G114" i="8" a="1"/>
  <c r="G114" i="8" s="1"/>
  <c r="G98" i="8" a="1"/>
  <c r="G98" i="8" s="1"/>
  <c r="G82" i="8" a="1"/>
  <c r="G82" i="8" s="1"/>
  <c r="G66" i="8" a="1"/>
  <c r="G66" i="8" s="1"/>
  <c r="G50" i="8" a="1"/>
  <c r="G50" i="8" s="1"/>
  <c r="G34" i="8" a="1"/>
  <c r="G34" i="8" s="1"/>
  <c r="G18" i="8" a="1"/>
  <c r="G18" i="8" s="1"/>
  <c r="G2" i="8" a="1"/>
  <c r="G2" i="8" s="1"/>
  <c r="I418" i="8" a="1"/>
  <c r="I418" i="8" s="1"/>
  <c r="I402" i="8" a="1"/>
  <c r="I402" i="8" s="1"/>
  <c r="I386" i="8" a="1"/>
  <c r="I386" i="8" s="1"/>
  <c r="I370" i="8" a="1"/>
  <c r="I370" i="8" s="1"/>
  <c r="I354" i="8" a="1"/>
  <c r="I354" i="8" s="1"/>
  <c r="I338" i="8" a="1"/>
  <c r="I338" i="8" s="1"/>
  <c r="I322" i="8" a="1"/>
  <c r="I322" i="8" s="1"/>
  <c r="I306" i="8" a="1"/>
  <c r="I306" i="8" s="1"/>
  <c r="I290" i="8" a="1"/>
  <c r="I290" i="8" s="1"/>
  <c r="I274" i="8" a="1"/>
  <c r="I274" i="8" s="1"/>
  <c r="I258" i="8" a="1"/>
  <c r="I258" i="8" s="1"/>
  <c r="I242" i="8" a="1"/>
  <c r="I242" i="8" s="1"/>
  <c r="I226" i="8" a="1"/>
  <c r="I226" i="8" s="1"/>
  <c r="I210" i="8" a="1"/>
  <c r="I210" i="8" s="1"/>
  <c r="I194" i="8" a="1"/>
  <c r="I194" i="8" s="1"/>
  <c r="I178" i="8" a="1"/>
  <c r="I178" i="8" s="1"/>
  <c r="I162" i="8" a="1"/>
  <c r="I162" i="8" s="1"/>
  <c r="I146" i="8" a="1"/>
  <c r="I146" i="8" s="1"/>
  <c r="I130" i="8" a="1"/>
  <c r="I130" i="8" s="1"/>
  <c r="I114" i="8" a="1"/>
  <c r="I114" i="8" s="1"/>
  <c r="I98" i="8" a="1"/>
  <c r="I98" i="8" s="1"/>
  <c r="I82" i="8" a="1"/>
  <c r="I82" i="8" s="1"/>
  <c r="I66" i="8" a="1"/>
  <c r="I66" i="8" s="1"/>
  <c r="I50" i="8" a="1"/>
  <c r="I50" i="8" s="1"/>
  <c r="I34" i="8" a="1"/>
  <c r="I34" i="8" s="1"/>
  <c r="I18" i="8" a="1"/>
  <c r="I18" i="8" s="1"/>
  <c r="I2" i="8" a="1"/>
  <c r="I2" i="8" s="1"/>
  <c r="J418" i="8" a="1"/>
  <c r="J418" i="8" s="1"/>
  <c r="J402" i="8" a="1"/>
  <c r="J402" i="8" s="1"/>
  <c r="J386" i="8" a="1"/>
  <c r="J386" i="8" s="1"/>
  <c r="J370" i="8" a="1"/>
  <c r="J370" i="8" s="1"/>
  <c r="J354" i="8" a="1"/>
  <c r="J354" i="8" s="1"/>
  <c r="J338" i="8" a="1"/>
  <c r="J338" i="8" s="1"/>
  <c r="J322" i="8" a="1"/>
  <c r="J322" i="8" s="1"/>
  <c r="J306" i="8" a="1"/>
  <c r="J306" i="8" s="1"/>
  <c r="J290" i="8" a="1"/>
  <c r="J290" i="8" s="1"/>
  <c r="J274" i="8" a="1"/>
  <c r="J274" i="8" s="1"/>
  <c r="J258" i="8" a="1"/>
  <c r="J258" i="8" s="1"/>
  <c r="J242" i="8" a="1"/>
  <c r="J242" i="8" s="1"/>
  <c r="J226" i="8" a="1"/>
  <c r="J226" i="8" s="1"/>
  <c r="J210" i="8" a="1"/>
  <c r="J210" i="8" s="1"/>
  <c r="J194" i="8" a="1"/>
  <c r="J194" i="8" s="1"/>
  <c r="J178" i="8" a="1"/>
  <c r="J178" i="8" s="1"/>
  <c r="J162" i="8" a="1"/>
  <c r="J162" i="8" s="1"/>
  <c r="J146" i="8" a="1"/>
  <c r="J146" i="8" s="1"/>
  <c r="J130" i="8" a="1"/>
  <c r="J130" i="8" s="1"/>
  <c r="J114" i="8" a="1"/>
  <c r="J114" i="8" s="1"/>
  <c r="J98" i="8" a="1"/>
  <c r="J98" i="8" s="1"/>
  <c r="J82" i="8" a="1"/>
  <c r="J82" i="8" s="1"/>
  <c r="J66" i="8" a="1"/>
  <c r="J66" i="8" s="1"/>
  <c r="J50" i="8" a="1"/>
  <c r="J50" i="8" s="1"/>
  <c r="J34" i="8" a="1"/>
  <c r="J34" i="8" s="1"/>
  <c r="J18" i="8" a="1"/>
  <c r="J18" i="8" s="1"/>
  <c r="J2" i="8" a="1"/>
  <c r="J2" i="8" s="1"/>
  <c r="D418" i="8" a="1"/>
  <c r="D418" i="8" s="1"/>
  <c r="D402" i="8" a="1"/>
  <c r="D402" i="8" s="1"/>
  <c r="D386" i="8" a="1"/>
  <c r="D386" i="8" s="1"/>
  <c r="D370" i="8" a="1"/>
  <c r="D370" i="8" s="1"/>
  <c r="D354" i="8" a="1"/>
  <c r="D354" i="8" s="1"/>
  <c r="D338" i="8" a="1"/>
  <c r="D338" i="8" s="1"/>
  <c r="D322" i="8" a="1"/>
  <c r="D322" i="8" s="1"/>
  <c r="D306" i="8" a="1"/>
  <c r="D306" i="8" s="1"/>
  <c r="D290" i="8" a="1"/>
  <c r="D290" i="8" s="1"/>
  <c r="D274" i="8" a="1"/>
  <c r="D274" i="8" s="1"/>
  <c r="D258" i="8" a="1"/>
  <c r="D258" i="8" s="1"/>
  <c r="D242" i="8" a="1"/>
  <c r="D242" i="8" s="1"/>
  <c r="D226" i="8" a="1"/>
  <c r="D226" i="8" s="1"/>
  <c r="D210" i="8" a="1"/>
  <c r="D210" i="8" s="1"/>
  <c r="D194" i="8" a="1"/>
  <c r="D194" i="8" s="1"/>
  <c r="D178" i="8" a="1"/>
  <c r="D178" i="8" s="1"/>
  <c r="D162" i="8" a="1"/>
  <c r="D162" i="8" s="1"/>
  <c r="D146" i="8" a="1"/>
  <c r="D146" i="8" s="1"/>
  <c r="D130" i="8" a="1"/>
  <c r="D130" i="8" s="1"/>
  <c r="D35" i="7" a="1"/>
  <c r="D35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<sst xmlns="http://schemas.openxmlformats.org/spreadsheetml/2006/main" count="1409" uniqueCount="109">
  <si>
    <t xml:space="preserve">LINK </t>
  </si>
  <si>
    <t>https://data360.worldbank.org/en/indicator/WB_WDI_TX_VAL_ICTG_ZS_UN</t>
  </si>
  <si>
    <t>ict goods % of total goods exports</t>
  </si>
  <si>
    <t>https://data360.worldbank.org/en/indicator/WB_WDI_IT_NET_BBND_P2</t>
  </si>
  <si>
    <t>fixed broadband subscriptions per 100 people</t>
  </si>
  <si>
    <t>https://data360.worldbank.org/en/indicator/ITU_DH_INT_USER_PT</t>
  </si>
  <si>
    <t>individuals using the internet %</t>
  </si>
  <si>
    <t>https://data360.worldbank.org/en/indicator/WB_WDI_TX_VAL_TECH_MF_ZS</t>
  </si>
  <si>
    <t>high tech export % manufactured</t>
  </si>
  <si>
    <t>https://data360.worldbank.org/en/indicator/WB_WDI_NY_GDP_MKTP_KD_ZG</t>
  </si>
  <si>
    <t>gdp annual growth %</t>
  </si>
  <si>
    <t>https://data360.worldbank.org/en/indicator/WB_WDI_NY_GDP_PCAP_CD</t>
  </si>
  <si>
    <t xml:space="preserve">gdp per capita curent $ </t>
  </si>
  <si>
    <t>tara</t>
  </si>
  <si>
    <t>France</t>
  </si>
  <si>
    <t>Fixed broadband subscriptions (per 100 people)</t>
  </si>
  <si>
    <t>Per 100 persons</t>
  </si>
  <si>
    <t>Slovenia</t>
  </si>
  <si>
    <t>Ireland</t>
  </si>
  <si>
    <t>Croatia</t>
  </si>
  <si>
    <t>Sweden</t>
  </si>
  <si>
    <t>Lithuania</t>
  </si>
  <si>
    <t>Netherlands</t>
  </si>
  <si>
    <t>Finland</t>
  </si>
  <si>
    <t>Czechia</t>
  </si>
  <si>
    <t>Romania</t>
  </si>
  <si>
    <t>Luxembourg</t>
  </si>
  <si>
    <t>Austria</t>
  </si>
  <si>
    <t>Hungary</t>
  </si>
  <si>
    <t>Poland</t>
  </si>
  <si>
    <t>Cyprus</t>
  </si>
  <si>
    <t>Denmark</t>
  </si>
  <si>
    <t>Greece</t>
  </si>
  <si>
    <t>Portugal</t>
  </si>
  <si>
    <t>Spain</t>
  </si>
  <si>
    <t>Belgium</t>
  </si>
  <si>
    <t>Estonia</t>
  </si>
  <si>
    <t>Italy</t>
  </si>
  <si>
    <t>Latvia</t>
  </si>
  <si>
    <t>Malta</t>
  </si>
  <si>
    <t>Bulgaria</t>
  </si>
  <si>
    <t>Germany</t>
  </si>
  <si>
    <t>Slovak Republic</t>
  </si>
  <si>
    <t>INDICATOR_LABEL</t>
  </si>
  <si>
    <t>UNIT_MEASURE_LABEL</t>
  </si>
  <si>
    <t>GDP growth (annual %)</t>
  </si>
  <si>
    <t>Percentage change per annum</t>
  </si>
  <si>
    <t>GDP per capita (current US$)</t>
  </si>
  <si>
    <t>US dollars</t>
  </si>
  <si>
    <t>Percentage</t>
  </si>
  <si>
    <t>ICT goods exports (% of total goods exports)</t>
  </si>
  <si>
    <t>ITU_DH_INT_USER_PT</t>
  </si>
  <si>
    <t>Percentage of individuals using the internet (ITU)</t>
  </si>
  <si>
    <t>Tara</t>
  </si>
  <si>
    <t>An</t>
  </si>
  <si>
    <t>R&amp;D % of gdp</t>
  </si>
  <si>
    <t>fixedborad per 100 subscribers</t>
  </si>
  <si>
    <t>GDP_annual growth %</t>
  </si>
  <si>
    <t>GDP_CAPITA $</t>
  </si>
  <si>
    <t>HighManu % eports</t>
  </si>
  <si>
    <t>ICT_goods %</t>
  </si>
  <si>
    <t>Internet_Use %</t>
  </si>
  <si>
    <t>Employment rate%</t>
  </si>
  <si>
    <t>r&amp;d expenditure % of gdp</t>
  </si>
  <si>
    <t>https://data360.worldbank.org/en/indicator/WB_WDI_GB_XPD_RSDV_GD_ZS</t>
  </si>
  <si>
    <t>REF_AREA_LABEL</t>
  </si>
  <si>
    <t>Research and development expenditure (% of GDP)</t>
  </si>
  <si>
    <t>Percentage of GDP</t>
  </si>
  <si>
    <t>https://data360.worldbank.org/en/indicator/WB_WDI_SL_EMP_TOTL_SP_NE_ZS</t>
  </si>
  <si>
    <t xml:space="preserve">employment rate % </t>
  </si>
  <si>
    <t>Employment to population ratio, 15+, total (%) (national estimate)</t>
  </si>
  <si>
    <t>SEX</t>
  </si>
  <si>
    <t>Youth unemployment rate (%)</t>
  </si>
  <si>
    <t>_T</t>
  </si>
  <si>
    <t>youth employ %</t>
  </si>
  <si>
    <t xml:space="preserve">https://data360.worldbank.org/en/indicator/WB_HCP_UNE_2EAP_MF_Y  </t>
  </si>
  <si>
    <t>Belgia</t>
  </si>
  <si>
    <t xml:space="preserve">Cipru </t>
  </si>
  <si>
    <t xml:space="preserve">Slovacia </t>
  </si>
  <si>
    <t xml:space="preserve">Ungaria </t>
  </si>
  <si>
    <t xml:space="preserve">Olanda </t>
  </si>
  <si>
    <t xml:space="preserve">Spania </t>
  </si>
  <si>
    <t xml:space="preserve">Germania </t>
  </si>
  <si>
    <t xml:space="preserve">Suedia </t>
  </si>
  <si>
    <t xml:space="preserve">Romania </t>
  </si>
  <si>
    <t xml:space="preserve">Portugalia </t>
  </si>
  <si>
    <t xml:space="preserve">Polonia </t>
  </si>
  <si>
    <t xml:space="preserve">Malta </t>
  </si>
  <si>
    <t xml:space="preserve">Letonia </t>
  </si>
  <si>
    <t xml:space="preserve">Luxemburg </t>
  </si>
  <si>
    <t xml:space="preserve">Lituania </t>
  </si>
  <si>
    <t xml:space="preserve">Irlanda </t>
  </si>
  <si>
    <t xml:space="preserve">Italia </t>
  </si>
  <si>
    <t xml:space="preserve">Croatia </t>
  </si>
  <si>
    <t>Grecia</t>
  </si>
  <si>
    <t>Finlanda</t>
  </si>
  <si>
    <t xml:space="preserve">Franta </t>
  </si>
  <si>
    <t xml:space="preserve">Estonia </t>
  </si>
  <si>
    <t xml:space="preserve">Danemarca </t>
  </si>
  <si>
    <t xml:space="preserve">Cehia </t>
  </si>
  <si>
    <t>Mobile cellular subscriptions (per 100 people)</t>
  </si>
  <si>
    <t>UNIT</t>
  </si>
  <si>
    <t>Unemployment by level of education (%)</t>
  </si>
  <si>
    <t>unemploy ead %</t>
  </si>
  <si>
    <t xml:space="preserve">https://data360.worldbank.org/en/indicator/WB_WDI_IT_CEL_SETS_P2 </t>
  </si>
  <si>
    <t xml:space="preserve">https://data360.worldbank.org/en/indicator/WB_GS_SL_UEM_ELV_ZS </t>
  </si>
  <si>
    <t>mobile_celular        nr  subs*100/pop</t>
  </si>
  <si>
    <t>unemploy by ead %</t>
  </si>
  <si>
    <t>mobile celullar:   number of subscriptions*100/population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</si>
</sst>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1"/>
    <xf numFmtId="2" fontId="0" fillId="0" borderId="0" xfId="0" applyNumberFormat="1"/>
    <xf numFmtId="3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2" fontId="0" fillId="9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2" fontId="0" fillId="12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2" fontId="0" fillId="13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2" fontId="0" fillId="14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2" fontId="0" fillId="15" borderId="0" xfId="0" applyNumberFormat="1" applyFill="1" applyAlignment="1">
      <alignment horizontal="center"/>
    </xf>
    <xf numFmtId="2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7" borderId="0" xfId="0" applyNumberFormat="1" applyFill="1" applyAlignment="1">
      <alignment horizontal="center"/>
    </xf>
    <xf numFmtId="2" fontId="0" fillId="17" borderId="0" xfId="0" applyNumberFormat="1" applyFill="1" applyAlignment="1">
      <alignment horizontal="center"/>
    </xf>
    <xf numFmtId="0" fontId="5" fillId="6" borderId="0" xfId="0" applyFont="1" applyFill="1" applyAlignment="1">
      <alignment horizontal="center"/>
    </xf>
    <xf numFmtId="2" fontId="5" fillId="6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2007</a:t>
            </a:r>
            <a:endParaRPr lang="ro-R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gdppercapita!$D$2:$D$28</c:f>
              <c:numCache>
                <c:formatCode>General</c:formatCode>
                <c:ptCount val="27"/>
                <c:pt idx="0">
                  <c:v>46622.962291363503</c:v>
                </c:pt>
                <c:pt idx="1">
                  <c:v>44319.165448813001</c:v>
                </c:pt>
                <c:pt idx="2">
                  <c:v>5888.5708140393199</c:v>
                </c:pt>
                <c:pt idx="3">
                  <c:v>31244.87890625</c:v>
                </c:pt>
                <c:pt idx="4">
                  <c:v>13755.832107329101</c:v>
                </c:pt>
                <c:pt idx="5">
                  <c:v>58631.656643363502</c:v>
                </c:pt>
                <c:pt idx="6">
                  <c:v>16745.4308011147</c:v>
                </c:pt>
                <c:pt idx="7">
                  <c:v>48473.024009145403</c:v>
                </c:pt>
                <c:pt idx="8">
                  <c:v>41486.190782878599</c:v>
                </c:pt>
                <c:pt idx="9">
                  <c:v>42350.921721148799</c:v>
                </c:pt>
                <c:pt idx="10">
                  <c:v>28440.7625328955</c:v>
                </c:pt>
                <c:pt idx="11">
                  <c:v>13934.6054603749</c:v>
                </c:pt>
                <c:pt idx="12">
                  <c:v>53568.3057787832</c:v>
                </c:pt>
                <c:pt idx="13">
                  <c:v>61396.417461175901</c:v>
                </c:pt>
                <c:pt idx="14">
                  <c:v>37826.175455482196</c:v>
                </c:pt>
                <c:pt idx="15">
                  <c:v>13370.978945250699</c:v>
                </c:pt>
                <c:pt idx="16">
                  <c:v>12295.1212779365</c:v>
                </c:pt>
                <c:pt idx="17">
                  <c:v>107475.320297977</c:v>
                </c:pt>
                <c:pt idx="18">
                  <c:v>19444.174195838099</c:v>
                </c:pt>
                <c:pt idx="19">
                  <c:v>52100.799628594701</c:v>
                </c:pt>
                <c:pt idx="20">
                  <c:v>11272.529368338301</c:v>
                </c:pt>
                <c:pt idx="21">
                  <c:v>22811.0564844365</c:v>
                </c:pt>
                <c:pt idx="22">
                  <c:v>16110.4817265237</c:v>
                </c:pt>
                <c:pt idx="23">
                  <c:v>23725.159600151499</c:v>
                </c:pt>
                <c:pt idx="24">
                  <c:v>8360.33775916595</c:v>
                </c:pt>
                <c:pt idx="25">
                  <c:v>18452.653281219598</c:v>
                </c:pt>
                <c:pt idx="26">
                  <c:v>32652.015594701901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D-47E5-9BA9-D5FF85CC1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944352"/>
        <c:axId val="1340942912"/>
      </c:barChart>
      <c:catAx>
        <c:axId val="1340944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340942912"/>
        <c:crosses val="autoZero"/>
        <c:auto val="1"/>
        <c:lblAlgn val="ctr"/>
        <c:lblOffset val="100"/>
        <c:noMultiLvlLbl val="0"/>
      </c:catAx>
      <c:valAx>
        <c:axId val="134094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34094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/>
              <a:t> </a:t>
            </a:r>
            <a:r>
              <a:rPr lang="en-US"/>
              <a:t>2022</a:t>
            </a:r>
            <a:endParaRPr lang="ro-RO"/>
          </a:p>
        </c:rich>
      </c:tx>
      <c:layout>
        <c:manualLayout>
          <c:xMode val="edge"/>
          <c:yMode val="edge"/>
          <c:x val="0.44282633420822404"/>
          <c:y val="4.2016806722689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gdppercapita!$S$2:$S$28</c:f>
              <c:numCache>
                <c:formatCode>General</c:formatCode>
                <c:ptCount val="27"/>
                <c:pt idx="0">
                  <c:v>52336.772522375701</c:v>
                </c:pt>
                <c:pt idx="1">
                  <c:v>50605.749667708602</c:v>
                </c:pt>
                <c:pt idx="2">
                  <c:v>13999.194953095501</c:v>
                </c:pt>
                <c:pt idx="3">
                  <c:v>33231.04296875</c:v>
                </c:pt>
                <c:pt idx="4">
                  <c:v>18465.541442036301</c:v>
                </c:pt>
                <c:pt idx="5">
                  <c:v>67781.094093951397</c:v>
                </c:pt>
                <c:pt idx="6">
                  <c:v>28340.382654940498</c:v>
                </c:pt>
                <c:pt idx="7">
                  <c:v>50440.560224973997</c:v>
                </c:pt>
                <c:pt idx="8">
                  <c:v>40988.639640657901</c:v>
                </c:pt>
                <c:pt idx="9">
                  <c:v>50506.517963854298</c:v>
                </c:pt>
                <c:pt idx="10">
                  <c:v>20886.524308762801</c:v>
                </c:pt>
                <c:pt idx="11">
                  <c:v>18428.028825613899</c:v>
                </c:pt>
                <c:pt idx="12">
                  <c:v>54836.890723512297</c:v>
                </c:pt>
                <c:pt idx="13">
                  <c:v>105190.68595273</c:v>
                </c:pt>
                <c:pt idx="14">
                  <c:v>35653.904210349501</c:v>
                </c:pt>
                <c:pt idx="15">
                  <c:v>20221.103686109</c:v>
                </c:pt>
                <c:pt idx="16">
                  <c:v>25085.784063498999</c:v>
                </c:pt>
                <c:pt idx="17">
                  <c:v>123719.658915996</c:v>
                </c:pt>
                <c:pt idx="18">
                  <c:v>35638.886945740502</c:v>
                </c:pt>
                <c:pt idx="19">
                  <c:v>59123.318556486898</c:v>
                </c:pt>
                <c:pt idx="20">
                  <c:v>18891.2121169278</c:v>
                </c:pt>
                <c:pt idx="21">
                  <c:v>24620.519758718001</c:v>
                </c:pt>
                <c:pt idx="22">
                  <c:v>21317.794398236201</c:v>
                </c:pt>
                <c:pt idx="23">
                  <c:v>28360.304146726801</c:v>
                </c:pt>
                <c:pt idx="24">
                  <c:v>15503.551804597901</c:v>
                </c:pt>
                <c:pt idx="25">
                  <c:v>28282.223671585602</c:v>
                </c:pt>
                <c:pt idx="26">
                  <c:v>30319.498719661598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9-47A6-A185-0C2DBC267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8603840"/>
        <c:axId val="1668604320"/>
      </c:barChart>
      <c:catAx>
        <c:axId val="1668603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668604320"/>
        <c:crosses val="autoZero"/>
        <c:auto val="1"/>
        <c:lblAlgn val="ctr"/>
        <c:lblOffset val="100"/>
        <c:noMultiLvlLbl val="0"/>
      </c:catAx>
      <c:valAx>
        <c:axId val="166860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66860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253365</xdr:colOff>
      <xdr:row>16</xdr:row>
      <xdr:rowOff>6667</xdr:rowOff>
    </xdr:from>
    <xdr:to>
      <xdr:col>26</xdr:col>
      <xdr:colOff>558165</xdr:colOff>
      <xdr:row>31</xdr:row>
      <xdr:rowOff>27622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23778-8D95-4EC1-18F6-D602AEEA2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205740</xdr:colOff>
      <xdr:row>0</xdr:row>
      <xdr:rowOff>86677</xdr:rowOff>
    </xdr:from>
    <xdr:to>
      <xdr:col>26</xdr:col>
      <xdr:colOff>510540</xdr:colOff>
      <xdr:row>15</xdr:row>
      <xdr:rowOff>98107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F2784-5941-7A4D-D35F-F1009A5E1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360.worldbank.org/en/indicator/WB_WDI_SL_EMP_TOTL_SP_NE_ZS" TargetMode="External"/><Relationship Id="rId3" Type="http://schemas.openxmlformats.org/officeDocument/2006/relationships/hyperlink" Target="https://data360.worldbank.org/en/indicator/ITU_DH_INT_USER_PT" TargetMode="External"/><Relationship Id="rId7" Type="http://schemas.openxmlformats.org/officeDocument/2006/relationships/hyperlink" Target="https://data360.worldbank.org/en/indicator/WB_WDI_GB_XPD_RSDV_GD_ZS" TargetMode="External"/><Relationship Id="rId2" Type="http://schemas.openxmlformats.org/officeDocument/2006/relationships/hyperlink" Target="https://data360.worldbank.org/en/indicator/WB_WDI_IT_NET_BBND_P2" TargetMode="External"/><Relationship Id="rId1" Type="http://schemas.openxmlformats.org/officeDocument/2006/relationships/hyperlink" Target="https://data360.worldbank.org/en/indicator/WB_WDI_TX_VAL_ICTG_ZS_UN" TargetMode="External"/><Relationship Id="rId6" Type="http://schemas.openxmlformats.org/officeDocument/2006/relationships/hyperlink" Target="https://data360.worldbank.org/en/indicator/WB_WDI_TX_VAL_TECH_MF_ZS" TargetMode="External"/><Relationship Id="rId11" Type="http://schemas.openxmlformats.org/officeDocument/2006/relationships/hyperlink" Target="https://data360.worldbank.org/en/indicator/WB_GS_SL_UEM_ELV_ZS" TargetMode="External"/><Relationship Id="rId5" Type="http://schemas.openxmlformats.org/officeDocument/2006/relationships/hyperlink" Target="https://data360.worldbank.org/en/indicator/WB_WDI_NY_GDP_MKTP_KD_ZG" TargetMode="External"/><Relationship Id="rId10" Type="http://schemas.openxmlformats.org/officeDocument/2006/relationships/hyperlink" Target="https://data360.worldbank.org/en/indicator/WB_WDI_IT_CEL_SETS_P2" TargetMode="External"/><Relationship Id="rId4" Type="http://schemas.openxmlformats.org/officeDocument/2006/relationships/hyperlink" Target="https://data360.worldbank.org/en/indicator/WB_WDI_NY_GDP_PCAP_CD" TargetMode="External"/><Relationship Id="rId9" Type="http://schemas.openxmlformats.org/officeDocument/2006/relationships/hyperlink" Target="https://data360.worldbank.org/en/indicator/WB_HCP_UNE_2EAP_MF_Y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1682-68DD-4D87-A8DB-37F77EB4713A}">
  <dimension ref="A1:V443"/>
  <sheetViews>
    <sheetView zoomScale="110" zoomScaleNormal="110" workbookViewId="0">
      <selection activeCell="G5" sqref="G5"/>
    </sheetView>
  </sheetViews>
  <sheetFormatPr defaultRowHeight="14.4" x14ac:dyDescent="0.3"/>
  <cols>
    <col min="1" max="1" width="15" style="5" bestFit="1" customWidth="1"/>
    <col min="2" max="2" width="8.88671875" style="5"/>
    <col min="3" max="3" width="16" style="5" bestFit="1" customWidth="1"/>
    <col min="4" max="4" width="13.6640625" style="5" bestFit="1" customWidth="1"/>
    <col min="5" max="5" width="11.44140625" style="5" bestFit="1" customWidth="1"/>
    <col min="6" max="6" width="16.88671875" style="5" bestFit="1" customWidth="1"/>
    <col min="7" max="7" width="12.77734375" style="5" bestFit="1" customWidth="1"/>
    <col min="8" max="8" width="26.33203125" style="5" customWidth="1"/>
    <col min="9" max="9" width="26.21875" style="5" bestFit="1" customWidth="1"/>
    <col min="10" max="10" width="12.109375" style="5" bestFit="1" customWidth="1"/>
    <col min="11" max="11" width="14.109375" style="5" bestFit="1" customWidth="1"/>
    <col min="12" max="12" width="17.44140625" style="5" customWidth="1"/>
    <col min="13" max="13" width="15.109375" style="5" customWidth="1"/>
    <col min="14" max="16384" width="8.88671875" style="5"/>
  </cols>
  <sheetData>
    <row r="1" spans="1:20" ht="145.80000000000001" customHeight="1" x14ac:dyDescent="0.3">
      <c r="A1" s="4" t="s">
        <v>53</v>
      </c>
      <c r="B1" s="4" t="s">
        <v>54</v>
      </c>
      <c r="C1" s="4" t="s">
        <v>62</v>
      </c>
      <c r="D1" s="4" t="s">
        <v>61</v>
      </c>
      <c r="E1" s="4" t="s">
        <v>60</v>
      </c>
      <c r="F1" s="4" t="s">
        <v>59</v>
      </c>
      <c r="G1" s="4" t="s">
        <v>58</v>
      </c>
      <c r="H1" s="4" t="s">
        <v>57</v>
      </c>
      <c r="I1" s="4" t="s">
        <v>56</v>
      </c>
      <c r="J1" s="4" t="s">
        <v>55</v>
      </c>
      <c r="K1" s="4" t="s">
        <v>74</v>
      </c>
      <c r="L1" s="4" t="s">
        <v>106</v>
      </c>
      <c r="M1" s="4" t="s">
        <v>107</v>
      </c>
      <c r="N1" s="4"/>
      <c r="O1" s="4"/>
      <c r="P1" s="4"/>
      <c r="Q1" s="4"/>
      <c r="R1" s="4"/>
      <c r="S1" s="4"/>
      <c r="T1" s="4"/>
    </row>
    <row r="2" spans="1:20" x14ac:dyDescent="0.3">
      <c r="A2" s="6" t="s">
        <v>27</v>
      </c>
      <c r="B2" s="38">
        <v>2007</v>
      </c>
      <c r="C2" s="39">
        <f t="array" ref="C2:C17">TRANSPOSE(EMPLOYrate!D11:S11)</f>
        <v>56.893000000000001</v>
      </c>
      <c r="D2" s="40">
        <v>69.37</v>
      </c>
      <c r="E2" s="38">
        <f t="array" ref="E2:E17">TRANSPOSE(ictgoods!D2:S2)</f>
        <v>4.67</v>
      </c>
      <c r="F2" s="40" cm="1">
        <f t="array" ref="F2:F17">TRANSPOSE(hightechmanu!C2:R2)</f>
        <v>12.9840241123201</v>
      </c>
      <c r="G2" s="40" cm="1">
        <f t="array" ref="G2:G17">TRANSPOSE(gdppercapita!D2:S2)</f>
        <v>46622.962291363503</v>
      </c>
      <c r="H2" s="40" cm="1">
        <f t="array" ref="H2:H17">TRANSPOSE(gdpannual!D7:S7)</f>
        <v>3.7752246872918498</v>
      </c>
      <c r="I2" s="40" cm="1">
        <f t="array" ref="I2:I17">TRANSPOSE(fixedbroadband!D13:S13)</f>
        <v>19.549299999999999</v>
      </c>
      <c r="J2" s="39" cm="1">
        <f t="array" ref="J2:J17">TRANSPOSE(rdexpediture!D19:S19)</f>
        <v>2.4184299999999999</v>
      </c>
      <c r="K2" s="40" cm="1">
        <f t="array" ref="K2:K17">TRANSPOSE(YOUTH_EMPLOY!D2:S2)</f>
        <v>9.5960000000000001</v>
      </c>
      <c r="L2" s="40">
        <f t="array" ref="L2:L17">TRANSPOSE(mobile_celular!D19:S19)</f>
        <v>119.46599999999999</v>
      </c>
      <c r="M2" s="40">
        <f t="array" ref="M2:M17">TRANSPOSE(unemployEAD!C2:R2)</f>
        <v>4.1470000000000002</v>
      </c>
      <c r="N2" s="38"/>
      <c r="O2" s="38"/>
      <c r="P2" s="38"/>
      <c r="Q2" s="38"/>
      <c r="R2" s="38"/>
      <c r="S2" s="38"/>
      <c r="T2" s="38"/>
    </row>
    <row r="3" spans="1:20" x14ac:dyDescent="0.3">
      <c r="A3" s="6" t="s">
        <v>27</v>
      </c>
      <c r="B3" s="38">
        <v>2008</v>
      </c>
      <c r="C3" s="39">
        <v>57.558</v>
      </c>
      <c r="D3" s="38">
        <v>72.87</v>
      </c>
      <c r="E3" s="38">
        <v>4.34</v>
      </c>
      <c r="F3" s="40">
        <v>12.6611194672378</v>
      </c>
      <c r="G3" s="40">
        <v>51581.398236107103</v>
      </c>
      <c r="H3" s="40">
        <v>1.45330562142113</v>
      </c>
      <c r="I3" s="40">
        <v>20.773099999999999</v>
      </c>
      <c r="J3" s="39">
        <v>2.5694499999999998</v>
      </c>
      <c r="K3" s="40">
        <v>8.7200000000000006</v>
      </c>
      <c r="L3" s="40">
        <v>129.94900000000001</v>
      </c>
      <c r="M3" s="40">
        <v>3.6150000000000002</v>
      </c>
      <c r="N3" s="38"/>
      <c r="O3" s="38"/>
      <c r="P3" s="38"/>
      <c r="Q3" s="38"/>
      <c r="R3" s="38"/>
      <c r="S3" s="38"/>
      <c r="T3" s="38"/>
    </row>
    <row r="4" spans="1:20" x14ac:dyDescent="0.3">
      <c r="A4" s="6" t="s">
        <v>27</v>
      </c>
      <c r="B4" s="38">
        <v>2009</v>
      </c>
      <c r="C4" s="39">
        <v>57.106999999999999</v>
      </c>
      <c r="D4" s="40">
        <v>73.45</v>
      </c>
      <c r="E4" s="38">
        <v>4.01</v>
      </c>
      <c r="F4" s="40">
        <v>13.4379155011382</v>
      </c>
      <c r="G4" s="40">
        <v>47857.444663526498</v>
      </c>
      <c r="H4" s="40">
        <v>-3.58626472551299</v>
      </c>
      <c r="I4" s="40">
        <v>22.5106</v>
      </c>
      <c r="J4" s="39">
        <v>2.59674</v>
      </c>
      <c r="K4" s="40">
        <v>10.896000000000001</v>
      </c>
      <c r="L4" s="40">
        <v>137.01499999999999</v>
      </c>
      <c r="M4" s="40">
        <v>4.7009999999999996</v>
      </c>
      <c r="N4" s="38"/>
      <c r="O4" s="38"/>
      <c r="P4" s="38"/>
      <c r="Q4" s="38"/>
      <c r="R4" s="38"/>
      <c r="S4" s="38"/>
      <c r="T4" s="38"/>
    </row>
    <row r="5" spans="1:20" x14ac:dyDescent="0.3">
      <c r="A5" s="6" t="s">
        <v>27</v>
      </c>
      <c r="B5" s="38">
        <v>2010</v>
      </c>
      <c r="C5" s="39">
        <v>57.343000000000004</v>
      </c>
      <c r="D5" s="40">
        <v>75.17</v>
      </c>
      <c r="E5" s="38">
        <v>3.95</v>
      </c>
      <c r="F5" s="40">
        <v>13.7053738878044</v>
      </c>
      <c r="G5" s="40">
        <v>46611.139342023103</v>
      </c>
      <c r="H5" s="40">
        <v>1.80898243043662</v>
      </c>
      <c r="I5" s="40">
        <v>24.511399999999998</v>
      </c>
      <c r="J5" s="39">
        <v>2.7261000000000002</v>
      </c>
      <c r="K5" s="40">
        <v>9.673</v>
      </c>
      <c r="L5" s="40">
        <v>146.334</v>
      </c>
      <c r="M5" s="40">
        <v>4.4109999999999996</v>
      </c>
      <c r="N5" s="38"/>
      <c r="O5" s="38"/>
      <c r="P5" s="38"/>
      <c r="Q5" s="38"/>
      <c r="R5" s="38"/>
      <c r="S5" s="38"/>
      <c r="T5" s="38"/>
    </row>
    <row r="6" spans="1:20" x14ac:dyDescent="0.3">
      <c r="A6" s="6" t="s">
        <v>27</v>
      </c>
      <c r="B6" s="38">
        <v>2011</v>
      </c>
      <c r="C6" s="39">
        <v>57.558</v>
      </c>
      <c r="D6" s="40">
        <v>78.739999999999995</v>
      </c>
      <c r="E6" s="38">
        <v>3.79</v>
      </c>
      <c r="F6" s="40">
        <v>13.2554242490317</v>
      </c>
      <c r="G6" s="40">
        <v>51116.895352204199</v>
      </c>
      <c r="H6" s="40">
        <v>2.9274680016914498</v>
      </c>
      <c r="I6" s="40">
        <v>24.992599999999999</v>
      </c>
      <c r="J6" s="39">
        <v>2.6686800000000002</v>
      </c>
      <c r="K6" s="40">
        <v>9.173</v>
      </c>
      <c r="L6" s="40">
        <v>155.155</v>
      </c>
      <c r="M6" s="40">
        <v>4.016</v>
      </c>
      <c r="N6" s="38"/>
      <c r="O6" s="38"/>
      <c r="P6" s="38"/>
      <c r="Q6" s="38"/>
      <c r="R6" s="38"/>
      <c r="S6" s="38"/>
      <c r="T6" s="38"/>
    </row>
    <row r="7" spans="1:20" x14ac:dyDescent="0.3">
      <c r="A7" s="6" t="s">
        <v>27</v>
      </c>
      <c r="B7" s="38">
        <v>2012</v>
      </c>
      <c r="C7" s="39">
        <v>57.67</v>
      </c>
      <c r="D7" s="40">
        <v>80.03</v>
      </c>
      <c r="E7" s="38">
        <v>3.89</v>
      </c>
      <c r="F7" s="40">
        <v>14.544678902468799</v>
      </c>
      <c r="G7" s="40">
        <v>48250.405914263698</v>
      </c>
      <c r="H7" s="40">
        <v>0.62824623947963598</v>
      </c>
      <c r="I7" s="40">
        <v>25.264500000000002</v>
      </c>
      <c r="J7" s="39">
        <v>2.91472</v>
      </c>
      <c r="K7" s="40">
        <v>9.5609999999999999</v>
      </c>
      <c r="L7" s="40">
        <v>161.15600000000001</v>
      </c>
      <c r="M7" s="40">
        <v>4.4359999999999999</v>
      </c>
      <c r="N7" s="38"/>
      <c r="O7" s="38"/>
      <c r="P7" s="38"/>
      <c r="Q7" s="38"/>
      <c r="R7" s="38"/>
      <c r="S7" s="38"/>
      <c r="T7" s="38"/>
    </row>
    <row r="8" spans="1:20" x14ac:dyDescent="0.3">
      <c r="A8" s="6" t="s">
        <v>27</v>
      </c>
      <c r="B8" s="38">
        <v>2013</v>
      </c>
      <c r="C8" s="39">
        <v>57.537999999999997</v>
      </c>
      <c r="D8" s="40">
        <v>80.618799999999993</v>
      </c>
      <c r="E8" s="38">
        <v>4.21</v>
      </c>
      <c r="F8" s="40">
        <v>15.3690648693426</v>
      </c>
      <c r="G8" s="40">
        <v>50305.354577497201</v>
      </c>
      <c r="H8" s="40">
        <v>-0.25072642331845402</v>
      </c>
      <c r="I8" s="40">
        <v>26.322299999999998</v>
      </c>
      <c r="J8" s="39">
        <v>2.95492</v>
      </c>
      <c r="K8" s="40">
        <v>9.7669999999999995</v>
      </c>
      <c r="L8" s="40">
        <v>156.483</v>
      </c>
      <c r="M8" s="40">
        <v>4.7480000000000002</v>
      </c>
      <c r="N8" s="38"/>
      <c r="O8" s="38"/>
      <c r="P8" s="38"/>
      <c r="Q8" s="38"/>
      <c r="R8" s="38"/>
      <c r="S8" s="38"/>
      <c r="T8" s="38"/>
    </row>
    <row r="9" spans="1:20" x14ac:dyDescent="0.3">
      <c r="A9" s="6" t="s">
        <v>27</v>
      </c>
      <c r="B9" s="38">
        <v>2014</v>
      </c>
      <c r="C9" s="39">
        <v>57.16</v>
      </c>
      <c r="D9" s="40">
        <v>80.995800000000003</v>
      </c>
      <c r="E9" s="38">
        <v>4.28</v>
      </c>
      <c r="F9" s="40">
        <v>15.490449013248</v>
      </c>
      <c r="G9" s="40">
        <v>51314.972261632203</v>
      </c>
      <c r="H9" s="40">
        <v>0.75579885031666505</v>
      </c>
      <c r="I9" s="40">
        <v>27.5977</v>
      </c>
      <c r="J9" s="39">
        <v>3.0842900000000002</v>
      </c>
      <c r="K9" s="40">
        <v>10.507999999999999</v>
      </c>
      <c r="L9" s="40">
        <v>151.53100000000001</v>
      </c>
      <c r="M9" s="40">
        <v>5.0720000000000001</v>
      </c>
      <c r="N9" s="38"/>
      <c r="O9" s="38"/>
      <c r="P9" s="38"/>
      <c r="Q9" s="38"/>
      <c r="R9" s="38"/>
      <c r="S9" s="38"/>
      <c r="T9" s="38"/>
    </row>
    <row r="10" spans="1:20" x14ac:dyDescent="0.3">
      <c r="A10" s="6" t="s">
        <v>27</v>
      </c>
      <c r="B10" s="38">
        <v>2015</v>
      </c>
      <c r="C10" s="39">
        <v>57.115000000000002</v>
      </c>
      <c r="D10" s="40">
        <v>83.940100000000001</v>
      </c>
      <c r="E10" s="38">
        <v>4.12</v>
      </c>
      <c r="F10" s="40">
        <v>15.032731994906699</v>
      </c>
      <c r="G10" s="40">
        <v>43915.228020856899</v>
      </c>
      <c r="H10" s="40">
        <v>1.3035233182619801</v>
      </c>
      <c r="I10" s="40">
        <v>28.4069</v>
      </c>
      <c r="J10" s="39">
        <v>3.04969</v>
      </c>
      <c r="K10" s="40">
        <v>10.91</v>
      </c>
      <c r="L10" s="40">
        <v>155.83699999999999</v>
      </c>
      <c r="M10" s="40">
        <v>5.508</v>
      </c>
      <c r="N10" s="38"/>
      <c r="O10" s="38"/>
      <c r="P10" s="38"/>
      <c r="Q10" s="38"/>
      <c r="R10" s="38"/>
      <c r="S10" s="38"/>
      <c r="T10" s="38"/>
    </row>
    <row r="11" spans="1:20" x14ac:dyDescent="0.3">
      <c r="A11" s="6" t="s">
        <v>27</v>
      </c>
      <c r="B11" s="38">
        <v>2016</v>
      </c>
      <c r="C11" s="39">
        <v>57.427</v>
      </c>
      <c r="D11" s="40">
        <v>84.323700000000002</v>
      </c>
      <c r="E11" s="38">
        <v>3.79</v>
      </c>
      <c r="F11" s="40">
        <v>14.453259187711099</v>
      </c>
      <c r="G11" s="40">
        <v>45061.499392019097</v>
      </c>
      <c r="H11" s="40">
        <v>2.11721964494311</v>
      </c>
      <c r="I11" s="40">
        <v>28.877600000000001</v>
      </c>
      <c r="J11" s="39">
        <v>3.1165500000000002</v>
      </c>
      <c r="K11" s="40">
        <v>11.423999999999999</v>
      </c>
      <c r="L11" s="40">
        <v>126.798</v>
      </c>
      <c r="M11" s="40">
        <v>5.8220000000000001</v>
      </c>
      <c r="N11" s="38"/>
      <c r="O11" s="38"/>
      <c r="P11" s="38"/>
      <c r="Q11" s="38"/>
      <c r="R11" s="38"/>
      <c r="S11" s="38"/>
      <c r="T11" s="38"/>
    </row>
    <row r="12" spans="1:20" x14ac:dyDescent="0.3">
      <c r="A12" s="6" t="s">
        <v>27</v>
      </c>
      <c r="B12" s="38">
        <v>2017</v>
      </c>
      <c r="C12" s="39">
        <v>57.703000000000003</v>
      </c>
      <c r="D12" s="40">
        <v>87.935599999999994</v>
      </c>
      <c r="E12" s="38">
        <v>3.48</v>
      </c>
      <c r="F12" s="40">
        <v>12.885199703788899</v>
      </c>
      <c r="G12" s="40">
        <v>47163.742577514196</v>
      </c>
      <c r="H12" s="40">
        <v>2.2722499203820599</v>
      </c>
      <c r="I12" s="40">
        <v>28.5426</v>
      </c>
      <c r="J12" s="39">
        <v>3.0565600000000002</v>
      </c>
      <c r="K12" s="40">
        <v>9.9710000000000001</v>
      </c>
      <c r="L12" s="40">
        <v>123.41500000000001</v>
      </c>
      <c r="M12" s="40">
        <v>5.1050000000000004</v>
      </c>
      <c r="N12" s="38"/>
      <c r="O12" s="38"/>
      <c r="P12" s="38"/>
      <c r="Q12" s="38"/>
      <c r="R12" s="38"/>
      <c r="S12" s="38"/>
      <c r="T12" s="38"/>
    </row>
    <row r="13" spans="1:20" x14ac:dyDescent="0.3">
      <c r="A13" s="6" t="s">
        <v>27</v>
      </c>
      <c r="B13" s="38">
        <v>2018</v>
      </c>
      <c r="C13" s="39">
        <v>58.298000000000002</v>
      </c>
      <c r="D13" s="40">
        <v>87.479100000000003</v>
      </c>
      <c r="E13" s="38">
        <v>3.41</v>
      </c>
      <c r="F13" s="40">
        <v>11.6500759838374</v>
      </c>
      <c r="G13" s="40">
        <v>51194.074984129897</v>
      </c>
      <c r="H13" s="40">
        <v>2.4842211408002401</v>
      </c>
      <c r="I13" s="40">
        <v>28.515000000000001</v>
      </c>
      <c r="J13" s="39">
        <v>3.0918199999999998</v>
      </c>
      <c r="K13" s="40">
        <v>9.5719999999999992</v>
      </c>
      <c r="L13" s="40">
        <v>124.23</v>
      </c>
      <c r="M13" s="40">
        <v>4.3109999999999999</v>
      </c>
      <c r="N13" s="38"/>
      <c r="O13" s="38"/>
      <c r="P13" s="38"/>
      <c r="Q13" s="38"/>
      <c r="R13" s="38"/>
      <c r="S13" s="38"/>
      <c r="T13" s="38"/>
    </row>
    <row r="14" spans="1:20" x14ac:dyDescent="0.3">
      <c r="A14" s="6" t="s">
        <v>27</v>
      </c>
      <c r="B14" s="38">
        <v>2019</v>
      </c>
      <c r="C14" s="39">
        <v>58.514000000000003</v>
      </c>
      <c r="D14" s="40">
        <v>87.752200000000002</v>
      </c>
      <c r="E14" s="38">
        <v>3.13</v>
      </c>
      <c r="F14" s="40">
        <v>11.4825348767666</v>
      </c>
      <c r="G14" s="40">
        <v>49885.994735520399</v>
      </c>
      <c r="H14" s="40">
        <v>1.7549761964928701</v>
      </c>
      <c r="I14" s="40">
        <v>28.363199999999999</v>
      </c>
      <c r="J14" s="39">
        <v>3.1326499999999999</v>
      </c>
      <c r="K14" s="40">
        <v>8.7669999999999995</v>
      </c>
      <c r="L14" s="40">
        <v>120.776</v>
      </c>
      <c r="M14" s="40">
        <v>3.9969999999999999</v>
      </c>
      <c r="N14" s="38"/>
      <c r="O14" s="38"/>
      <c r="P14" s="38"/>
      <c r="Q14" s="38"/>
      <c r="R14" s="38"/>
      <c r="S14" s="38"/>
      <c r="T14" s="38"/>
    </row>
    <row r="15" spans="1:20" x14ac:dyDescent="0.3">
      <c r="A15" s="6" t="s">
        <v>27</v>
      </c>
      <c r="B15" s="38">
        <v>2020</v>
      </c>
      <c r="C15" s="39">
        <v>57.651000000000003</v>
      </c>
      <c r="D15" s="40">
        <v>87.529399999999995</v>
      </c>
      <c r="E15" s="38">
        <v>3.09</v>
      </c>
      <c r="F15" s="40">
        <v>12.2718957660445</v>
      </c>
      <c r="G15" s="40">
        <v>48716.409890034898</v>
      </c>
      <c r="H15" s="40">
        <v>-6.3182550920993599</v>
      </c>
      <c r="I15" s="40">
        <v>29.210599999999999</v>
      </c>
      <c r="J15" s="39">
        <v>3.2027800000000002</v>
      </c>
      <c r="K15" s="40">
        <v>10.324999999999999</v>
      </c>
      <c r="L15" s="40">
        <v>120.13200000000001</v>
      </c>
      <c r="M15" s="40">
        <v>4.8849999999999998</v>
      </c>
      <c r="N15" s="38"/>
      <c r="O15" s="38"/>
      <c r="P15" s="38"/>
      <c r="Q15" s="38"/>
      <c r="R15" s="38"/>
      <c r="S15" s="38"/>
      <c r="T15" s="38"/>
    </row>
    <row r="16" spans="1:20" x14ac:dyDescent="0.3">
      <c r="A16" s="6" t="s">
        <v>27</v>
      </c>
      <c r="B16" s="38">
        <v>2021</v>
      </c>
      <c r="C16" s="39">
        <v>57.201999999999998</v>
      </c>
      <c r="D16" s="40">
        <v>92.529200000000003</v>
      </c>
      <c r="E16" s="38">
        <v>4.95</v>
      </c>
      <c r="F16" s="40">
        <v>11.017122140568</v>
      </c>
      <c r="G16" s="40">
        <v>53648.643797621298</v>
      </c>
      <c r="H16" s="40">
        <v>4.9230917171790303</v>
      </c>
      <c r="I16" s="40">
        <v>29.253699999999998</v>
      </c>
      <c r="J16" s="39">
        <v>3.2636099999999999</v>
      </c>
      <c r="K16" s="40">
        <v>12.023</v>
      </c>
      <c r="L16" s="40">
        <v>121.358</v>
      </c>
      <c r="M16" s="40">
        <v>6.0449999999999999</v>
      </c>
      <c r="N16" s="38"/>
      <c r="O16" s="38"/>
      <c r="P16" s="38"/>
      <c r="Q16" s="38"/>
      <c r="R16" s="38"/>
      <c r="S16" s="38"/>
      <c r="T16" s="38"/>
    </row>
    <row r="17" spans="1:20" x14ac:dyDescent="0.3">
      <c r="A17" s="6" t="s">
        <v>27</v>
      </c>
      <c r="B17" s="38">
        <v>2022</v>
      </c>
      <c r="C17" s="39">
        <v>58.441000000000003</v>
      </c>
      <c r="D17" s="40">
        <v>93.614099999999993</v>
      </c>
      <c r="E17" s="38">
        <v>4.88</v>
      </c>
      <c r="F17" s="40">
        <v>14.914170247260101</v>
      </c>
      <c r="G17" s="40">
        <v>52336.772522375701</v>
      </c>
      <c r="H17" s="40">
        <v>5.3309637940036998</v>
      </c>
      <c r="I17" s="40">
        <v>29.234300000000001</v>
      </c>
      <c r="J17" s="39">
        <v>3.2004800000000002</v>
      </c>
      <c r="K17" s="40">
        <v>10.327</v>
      </c>
      <c r="L17" s="40">
        <v>121.166</v>
      </c>
      <c r="M17" s="40">
        <v>4.2409999999999997</v>
      </c>
      <c r="N17" s="38"/>
      <c r="O17" s="38"/>
      <c r="P17" s="38"/>
      <c r="Q17" s="38"/>
      <c r="R17" s="38"/>
      <c r="S17" s="38"/>
      <c r="T17" s="38"/>
    </row>
    <row r="18" spans="1:20" x14ac:dyDescent="0.3">
      <c r="A18" s="7" t="s">
        <v>76</v>
      </c>
      <c r="B18" s="7">
        <v>2007</v>
      </c>
      <c r="C18" s="7">
        <f t="array" ref="C18:C33">TRANSPOSE(EMPLOYrate!D24:S24)</f>
        <v>49.588999999999999</v>
      </c>
      <c r="D18" s="8">
        <v>66.760400000000004</v>
      </c>
      <c r="E18" s="7">
        <f t="array" ref="E18:E33">TRANSPOSE(ictgoods!D25:S25)</f>
        <v>2.7</v>
      </c>
      <c r="F18" s="8" cm="1">
        <f t="array" ref="F18:F33">TRANSPOSE(hightechmanu!C3:R3)</f>
        <v>8.4658386362655893</v>
      </c>
      <c r="G18" s="8" cm="1">
        <f t="array" ref="G18:G33">TRANSPOSE(gdppercapita!D3:S3)</f>
        <v>44319.165448813001</v>
      </c>
      <c r="H18" s="8" cm="1">
        <f t="array" ref="H18:H33">TRANSPOSE(gdpannual!D15:S15)</f>
        <v>3.6769246251580201</v>
      </c>
      <c r="I18" s="8" cm="1">
        <f t="array" ref="I18:I33">TRANSPOSE(fixedbroadband!D21:S21)</f>
        <v>25.689399999999999</v>
      </c>
      <c r="J18" s="9" cm="1">
        <f t="array" ref="J18:J33">TRANSPOSE(rdexpediture!D21:S21)</f>
        <v>1.84999</v>
      </c>
      <c r="K18" s="8" cm="1">
        <f t="array" ref="K18:K33">TRANSPOSE(YOUTH_EMPLOY!D3:S3)</f>
        <v>18.841000000000001</v>
      </c>
      <c r="L18" s="8">
        <f t="array" ref="L18:L33">TRANSPOSE(mobile_celular!D27:S27)</f>
        <v>101.06</v>
      </c>
      <c r="M18" s="8">
        <f t="array" ref="M18:M33">TRANSPOSE(unemployEAD!C3:R3)</f>
        <v>7.5919999999999996</v>
      </c>
      <c r="N18" s="7"/>
      <c r="O18" s="7"/>
      <c r="P18" s="7"/>
      <c r="Q18" s="7"/>
      <c r="R18" s="7"/>
      <c r="S18" s="7"/>
      <c r="T18" s="7"/>
    </row>
    <row r="19" spans="1:20" x14ac:dyDescent="0.3">
      <c r="A19" s="7" t="s">
        <v>76</v>
      </c>
      <c r="B19" s="7">
        <v>2008</v>
      </c>
      <c r="C19" s="7">
        <v>49.933999999999997</v>
      </c>
      <c r="D19" s="8">
        <v>68.857299999999995</v>
      </c>
      <c r="E19" s="7">
        <v>2.58</v>
      </c>
      <c r="F19" s="8">
        <v>8.9469498379449401</v>
      </c>
      <c r="G19" s="8">
        <v>48303.397956285902</v>
      </c>
      <c r="H19" s="8">
        <v>0.44690513072722998</v>
      </c>
      <c r="I19" s="8">
        <v>27.848600000000001</v>
      </c>
      <c r="J19" s="9">
        <v>1.9368399999999999</v>
      </c>
      <c r="K19" s="8">
        <v>17.97</v>
      </c>
      <c r="L19" s="8">
        <v>105.901</v>
      </c>
      <c r="M19" s="8">
        <v>6.94</v>
      </c>
      <c r="N19" s="7"/>
      <c r="O19" s="7"/>
      <c r="P19" s="7"/>
      <c r="Q19" s="7"/>
      <c r="R19" s="7"/>
      <c r="S19" s="7"/>
      <c r="T19" s="7"/>
    </row>
    <row r="20" spans="1:20" x14ac:dyDescent="0.3">
      <c r="A20" s="7" t="s">
        <v>76</v>
      </c>
      <c r="B20" s="7">
        <v>2009</v>
      </c>
      <c r="C20" s="7">
        <v>49.244</v>
      </c>
      <c r="D20" s="8">
        <v>74.5441</v>
      </c>
      <c r="E20" s="7">
        <v>2.5</v>
      </c>
      <c r="F20" s="8">
        <v>11.3575445439539</v>
      </c>
      <c r="G20" s="8">
        <v>44923.340013508103</v>
      </c>
      <c r="H20" s="8">
        <v>-1.9064410551533499</v>
      </c>
      <c r="I20" s="8">
        <v>29.161899999999999</v>
      </c>
      <c r="J20" s="9">
        <v>1.9985999999999999</v>
      </c>
      <c r="K20" s="8">
        <v>21.94</v>
      </c>
      <c r="L20" s="8">
        <v>108.9</v>
      </c>
      <c r="M20" s="8">
        <v>8.0709999999999997</v>
      </c>
      <c r="N20" s="7"/>
      <c r="O20" s="7"/>
      <c r="P20" s="7"/>
      <c r="Q20" s="7"/>
      <c r="R20" s="7"/>
      <c r="S20" s="7"/>
      <c r="T20" s="7"/>
    </row>
    <row r="21" spans="1:20" x14ac:dyDescent="0.3">
      <c r="A21" s="7" t="s">
        <v>76</v>
      </c>
      <c r="B21" s="7">
        <v>2010</v>
      </c>
      <c r="C21" s="7">
        <v>49.585999999999999</v>
      </c>
      <c r="D21" s="8">
        <v>77.639799999999994</v>
      </c>
      <c r="E21" s="7">
        <v>2.0299999999999998</v>
      </c>
      <c r="F21" s="8">
        <v>9.2652301044888397</v>
      </c>
      <c r="G21" s="8">
        <v>44197.393671161903</v>
      </c>
      <c r="H21" s="8">
        <v>2.71031150254661</v>
      </c>
      <c r="I21" s="8">
        <v>30.842600000000001</v>
      </c>
      <c r="J21" s="9">
        <v>2.0618799999999999</v>
      </c>
      <c r="K21" s="8">
        <v>22.390999999999998</v>
      </c>
      <c r="L21" s="8">
        <v>111.13200000000001</v>
      </c>
      <c r="M21" s="8">
        <v>8.1349999999999998</v>
      </c>
      <c r="N21" s="7"/>
      <c r="O21" s="7"/>
      <c r="P21" s="7"/>
      <c r="Q21" s="7"/>
      <c r="R21" s="7"/>
      <c r="S21" s="7"/>
      <c r="T21" s="7"/>
    </row>
    <row r="22" spans="1:20" x14ac:dyDescent="0.3">
      <c r="A22" s="7" t="s">
        <v>76</v>
      </c>
      <c r="B22" s="7">
        <v>2011</v>
      </c>
      <c r="C22" s="7">
        <v>49.4</v>
      </c>
      <c r="D22" s="8">
        <v>81.61</v>
      </c>
      <c r="E22" s="7">
        <v>1.72</v>
      </c>
      <c r="F22" s="8">
        <v>8.6748384062106094</v>
      </c>
      <c r="G22" s="8">
        <v>47760.8298776546</v>
      </c>
      <c r="H22" s="8">
        <v>1.93115502411325</v>
      </c>
      <c r="I22" s="8">
        <v>32.103200000000001</v>
      </c>
      <c r="J22" s="9">
        <v>2.1733199999999999</v>
      </c>
      <c r="K22" s="8">
        <v>18.724</v>
      </c>
      <c r="L22" s="8">
        <v>113.202</v>
      </c>
      <c r="M22" s="8">
        <v>6.7750000000000004</v>
      </c>
      <c r="N22" s="7"/>
      <c r="O22" s="7"/>
      <c r="P22" s="7"/>
      <c r="Q22" s="7"/>
      <c r="R22" s="7"/>
      <c r="S22" s="7"/>
      <c r="T22" s="7"/>
    </row>
    <row r="23" spans="1:20" x14ac:dyDescent="0.3">
      <c r="A23" s="7" t="s">
        <v>76</v>
      </c>
      <c r="B23" s="7">
        <v>2012</v>
      </c>
      <c r="C23" s="7">
        <v>49.232999999999997</v>
      </c>
      <c r="D23" s="8">
        <v>80.72</v>
      </c>
      <c r="E23" s="7">
        <v>1.73</v>
      </c>
      <c r="F23" s="8">
        <v>8.9420007987590999</v>
      </c>
      <c r="G23" s="8">
        <v>44874.170918212199</v>
      </c>
      <c r="H23" s="8">
        <v>0.215803612089743</v>
      </c>
      <c r="I23" s="8">
        <v>33.238799999999998</v>
      </c>
      <c r="J23" s="9">
        <v>2.2811400000000002</v>
      </c>
      <c r="K23" s="8">
        <v>19.738</v>
      </c>
      <c r="L23" s="8">
        <v>110.85599999999999</v>
      </c>
      <c r="M23" s="8">
        <v>7.7510000000000003</v>
      </c>
      <c r="N23" s="7"/>
      <c r="O23" s="7"/>
      <c r="P23" s="7"/>
      <c r="Q23" s="7"/>
      <c r="R23" s="7"/>
      <c r="S23" s="7"/>
      <c r="T23" s="7"/>
    </row>
    <row r="24" spans="1:20" x14ac:dyDescent="0.3">
      <c r="A24" s="7" t="s">
        <v>76</v>
      </c>
      <c r="B24" s="7">
        <v>2013</v>
      </c>
      <c r="C24" s="7">
        <v>49.046999999999997</v>
      </c>
      <c r="D24" s="8">
        <v>82.170199999999994</v>
      </c>
      <c r="E24" s="7">
        <v>1.69</v>
      </c>
      <c r="F24" s="8">
        <v>10.640611754827001</v>
      </c>
      <c r="G24" s="8">
        <v>46964.5946777055</v>
      </c>
      <c r="H24" s="8">
        <v>0.30549454907023199</v>
      </c>
      <c r="I24" s="8">
        <v>34.308500000000002</v>
      </c>
      <c r="J24" s="9">
        <v>2.33073</v>
      </c>
      <c r="K24" s="8">
        <v>23.689</v>
      </c>
      <c r="L24" s="8">
        <v>110.349</v>
      </c>
      <c r="M24" s="8">
        <v>8.2140000000000004</v>
      </c>
      <c r="N24" s="7"/>
      <c r="O24" s="7"/>
      <c r="P24" s="7"/>
      <c r="Q24" s="7"/>
      <c r="R24" s="7"/>
      <c r="S24" s="7"/>
      <c r="T24" s="7"/>
    </row>
    <row r="25" spans="1:20" x14ac:dyDescent="0.3">
      <c r="A25" s="7" t="s">
        <v>76</v>
      </c>
      <c r="B25" s="7">
        <v>2014</v>
      </c>
      <c r="C25" s="7">
        <v>48.945999999999998</v>
      </c>
      <c r="D25" s="8">
        <v>85.001199999999997</v>
      </c>
      <c r="E25" s="7">
        <v>1.74</v>
      </c>
      <c r="F25" s="8">
        <v>11.939351731537901</v>
      </c>
      <c r="G25" s="8">
        <v>47995.778696133901</v>
      </c>
      <c r="H25" s="8">
        <v>1.7655403814992301</v>
      </c>
      <c r="I25" s="8">
        <v>35.781999999999996</v>
      </c>
      <c r="J25" s="9">
        <v>2.3700199999999998</v>
      </c>
      <c r="K25" s="8">
        <v>23.225000000000001</v>
      </c>
      <c r="L25" s="8">
        <v>113.6</v>
      </c>
      <c r="M25" s="8">
        <v>8.7940000000000005</v>
      </c>
      <c r="N25" s="7"/>
      <c r="O25" s="7"/>
      <c r="P25" s="7"/>
      <c r="Q25" s="7"/>
      <c r="R25" s="7"/>
      <c r="S25" s="7"/>
      <c r="T25" s="7"/>
    </row>
    <row r="26" spans="1:20" x14ac:dyDescent="0.3">
      <c r="A26" s="7" t="s">
        <v>76</v>
      </c>
      <c r="B26" s="7">
        <v>2015</v>
      </c>
      <c r="C26" s="7">
        <v>48.787999999999997</v>
      </c>
      <c r="D26" s="8">
        <v>85.052899999999994</v>
      </c>
      <c r="E26" s="7">
        <v>2.1800000000000002</v>
      </c>
      <c r="F26" s="8">
        <v>12.335173968122501</v>
      </c>
      <c r="G26" s="8">
        <v>40893.804537771997</v>
      </c>
      <c r="H26" s="8">
        <v>1.4741643373192601</v>
      </c>
      <c r="I26" s="8">
        <v>36.549199999999999</v>
      </c>
      <c r="J26" s="9">
        <v>2.4281700000000002</v>
      </c>
      <c r="K26" s="8">
        <v>22.125</v>
      </c>
      <c r="L26" s="8">
        <v>113.292</v>
      </c>
      <c r="M26" s="8">
        <v>8.6989999999999998</v>
      </c>
      <c r="N26" s="7"/>
      <c r="O26" s="7"/>
      <c r="P26" s="7"/>
      <c r="Q26" s="7"/>
      <c r="R26" s="7"/>
      <c r="S26" s="7"/>
      <c r="T26" s="7"/>
    </row>
    <row r="27" spans="1:20" x14ac:dyDescent="0.3">
      <c r="A27" s="7" t="s">
        <v>76</v>
      </c>
      <c r="B27" s="7">
        <v>2016</v>
      </c>
      <c r="C27" s="7">
        <v>48.951999999999998</v>
      </c>
      <c r="D27" s="8">
        <v>86.516499999999994</v>
      </c>
      <c r="E27" s="7">
        <v>2.02</v>
      </c>
      <c r="F27" s="8">
        <v>13.3312451633932</v>
      </c>
      <c r="G27" s="8">
        <v>41854.549829644398</v>
      </c>
      <c r="H27" s="8">
        <v>1.19350273007754</v>
      </c>
      <c r="I27" s="8">
        <v>37.6813</v>
      </c>
      <c r="J27" s="9">
        <v>2.52338</v>
      </c>
      <c r="K27" s="8">
        <v>20.108000000000001</v>
      </c>
      <c r="L27" s="8">
        <v>110.749</v>
      </c>
      <c r="M27" s="8">
        <v>8.0449999999999999</v>
      </c>
      <c r="N27" s="7"/>
      <c r="O27" s="7"/>
      <c r="P27" s="7"/>
      <c r="Q27" s="7"/>
      <c r="R27" s="7"/>
      <c r="S27" s="7"/>
      <c r="T27" s="7"/>
    </row>
    <row r="28" spans="1:20" x14ac:dyDescent="0.3">
      <c r="A28" s="7" t="s">
        <v>76</v>
      </c>
      <c r="B28" s="7">
        <v>2017</v>
      </c>
      <c r="C28" s="7">
        <v>50.021000000000001</v>
      </c>
      <c r="D28" s="8">
        <v>87.679699999999997</v>
      </c>
      <c r="E28" s="7">
        <v>1.95</v>
      </c>
      <c r="F28" s="8">
        <v>11.491790355790901</v>
      </c>
      <c r="G28" s="8">
        <v>44035.323935854802</v>
      </c>
      <c r="H28" s="8">
        <v>1.47446761556784</v>
      </c>
      <c r="I28" s="8">
        <v>38.491100000000003</v>
      </c>
      <c r="J28" s="9">
        <v>2.6666599999999998</v>
      </c>
      <c r="K28" s="8">
        <v>19.236000000000001</v>
      </c>
      <c r="L28" s="8">
        <v>99.830399999999997</v>
      </c>
      <c r="M28" s="8">
        <v>7.1130000000000004</v>
      </c>
      <c r="N28" s="7"/>
      <c r="O28" s="7"/>
      <c r="P28" s="7"/>
      <c r="Q28" s="7"/>
      <c r="R28" s="7"/>
      <c r="S28" s="7"/>
      <c r="T28" s="7"/>
    </row>
    <row r="29" spans="1:20" x14ac:dyDescent="0.3">
      <c r="A29" s="7" t="s">
        <v>76</v>
      </c>
      <c r="B29" s="7">
        <v>2018</v>
      </c>
      <c r="C29" s="7">
        <v>50.965000000000003</v>
      </c>
      <c r="D29" s="8">
        <v>88.647300000000001</v>
      </c>
      <c r="E29" s="7">
        <v>1.77</v>
      </c>
      <c r="F29" s="8">
        <v>11.705864059451599</v>
      </c>
      <c r="G29" s="8">
        <v>47487.210039256002</v>
      </c>
      <c r="H29" s="8">
        <v>1.8779684738356499</v>
      </c>
      <c r="I29" s="8">
        <v>39.400700000000001</v>
      </c>
      <c r="J29" s="9">
        <v>2.8601800000000002</v>
      </c>
      <c r="K29" s="8">
        <v>15.747999999999999</v>
      </c>
      <c r="L29" s="8">
        <v>100.164</v>
      </c>
      <c r="M29" s="8">
        <v>5.9509999999999996</v>
      </c>
      <c r="N29" s="7"/>
      <c r="O29" s="7"/>
      <c r="P29" s="7"/>
      <c r="Q29" s="7"/>
      <c r="R29" s="7"/>
      <c r="S29" s="7"/>
      <c r="T29" s="7"/>
    </row>
    <row r="30" spans="1:20" x14ac:dyDescent="0.3">
      <c r="A30" s="7" t="s">
        <v>76</v>
      </c>
      <c r="B30" s="7">
        <v>2019</v>
      </c>
      <c r="C30" s="7">
        <v>51.475000000000001</v>
      </c>
      <c r="D30" s="8">
        <v>90.275400000000005</v>
      </c>
      <c r="E30" s="7">
        <v>2.17</v>
      </c>
      <c r="F30" s="8">
        <v>14.1440138847212</v>
      </c>
      <c r="G30" s="8">
        <v>46716.622746796398</v>
      </c>
      <c r="H30" s="8">
        <v>2.4428900448155901</v>
      </c>
      <c r="I30" s="8">
        <v>39.951799999999999</v>
      </c>
      <c r="J30" s="9">
        <v>3.1566000000000001</v>
      </c>
      <c r="K30" s="8">
        <v>14.236000000000001</v>
      </c>
      <c r="L30" s="8">
        <v>100.16500000000001</v>
      </c>
      <c r="M30" s="8">
        <v>5.3019999999999996</v>
      </c>
      <c r="N30" s="7"/>
      <c r="O30" s="7"/>
      <c r="P30" s="7"/>
      <c r="Q30" s="7"/>
      <c r="R30" s="7"/>
      <c r="S30" s="7"/>
      <c r="T30" s="7"/>
    </row>
    <row r="31" spans="1:20" x14ac:dyDescent="0.3">
      <c r="A31" s="7" t="s">
        <v>76</v>
      </c>
      <c r="B31" s="7">
        <v>2020</v>
      </c>
      <c r="C31" s="7">
        <v>50.83</v>
      </c>
      <c r="D31" s="8">
        <v>91.526399999999995</v>
      </c>
      <c r="E31" s="7">
        <v>2.3199999999999998</v>
      </c>
      <c r="F31" s="8">
        <v>15.261861578971301</v>
      </c>
      <c r="G31" s="8">
        <v>45906.287580524498</v>
      </c>
      <c r="H31" s="8">
        <v>-4.7929839083518004</v>
      </c>
      <c r="I31" s="8">
        <v>41.024000000000001</v>
      </c>
      <c r="J31" s="9">
        <v>3.39175</v>
      </c>
      <c r="K31" s="8">
        <v>15.326000000000001</v>
      </c>
      <c r="L31" s="8">
        <v>99.9101</v>
      </c>
      <c r="M31" s="8">
        <v>5.7320000000000002</v>
      </c>
      <c r="N31" s="7"/>
      <c r="O31" s="7"/>
      <c r="P31" s="7"/>
      <c r="Q31" s="7"/>
      <c r="R31" s="7"/>
      <c r="S31" s="7"/>
      <c r="T31" s="7"/>
    </row>
    <row r="32" spans="1:20" x14ac:dyDescent="0.3">
      <c r="A32" s="7" t="s">
        <v>76</v>
      </c>
      <c r="B32" s="7">
        <v>2021</v>
      </c>
      <c r="C32" s="7">
        <v>51.079000000000001</v>
      </c>
      <c r="D32" s="8">
        <v>92.788700000000006</v>
      </c>
      <c r="E32" s="7">
        <v>1.85</v>
      </c>
      <c r="F32" s="8">
        <v>21.379963876373701</v>
      </c>
      <c r="G32" s="8">
        <v>51658.238294957897</v>
      </c>
      <c r="H32" s="8">
        <v>6.2544568646659204</v>
      </c>
      <c r="I32" s="8">
        <v>43.021799999999999</v>
      </c>
      <c r="J32" s="9">
        <v>3.3923899999999998</v>
      </c>
      <c r="K32" s="8">
        <v>18.206</v>
      </c>
      <c r="L32" s="8">
        <v>101.46299999999999</v>
      </c>
      <c r="M32" s="8">
        <v>6.9720000000000004</v>
      </c>
      <c r="N32" s="7"/>
      <c r="O32" s="7"/>
      <c r="P32" s="7"/>
      <c r="Q32" s="7"/>
      <c r="R32" s="7"/>
      <c r="S32" s="7"/>
      <c r="T32" s="7"/>
    </row>
    <row r="33" spans="1:20" x14ac:dyDescent="0.3">
      <c r="A33" s="7" t="s">
        <v>76</v>
      </c>
      <c r="B33" s="7">
        <v>2022</v>
      </c>
      <c r="C33" s="7">
        <v>52.026000000000003</v>
      </c>
      <c r="D33" s="8">
        <v>94.007800000000003</v>
      </c>
      <c r="E33" s="7">
        <v>1.64</v>
      </c>
      <c r="F33" s="8">
        <v>22.817913517326499</v>
      </c>
      <c r="G33" s="8">
        <v>50605.749667708602</v>
      </c>
      <c r="H33" s="8">
        <v>3.9562379757933002</v>
      </c>
      <c r="I33" s="8">
        <v>43.5657</v>
      </c>
      <c r="J33" s="9">
        <v>3.40544</v>
      </c>
      <c r="K33" s="8">
        <v>16.41</v>
      </c>
      <c r="L33" s="8">
        <v>101.68</v>
      </c>
      <c r="M33" s="8">
        <v>6.32</v>
      </c>
      <c r="N33" s="7"/>
      <c r="O33" s="7"/>
      <c r="P33" s="7"/>
      <c r="Q33" s="7"/>
      <c r="R33" s="7"/>
      <c r="S33" s="7"/>
      <c r="T33" s="7"/>
    </row>
    <row r="34" spans="1:20" x14ac:dyDescent="0.3">
      <c r="A34" s="10" t="s">
        <v>40</v>
      </c>
      <c r="B34" s="10">
        <v>2007</v>
      </c>
      <c r="C34" s="10">
        <f t="array" ref="C34:C49">TRANSPOSE(EMPLOYrate!D23:S23)</f>
        <v>48.978999999999999</v>
      </c>
      <c r="D34" s="11">
        <v>33.64</v>
      </c>
      <c r="E34" s="10">
        <f t="array" ref="E34:E49">TRANSPOSE(ictgoods!D5:S5)</f>
        <v>1.92</v>
      </c>
      <c r="F34" s="11" cm="1">
        <f t="array" ref="F34:F49">TRANSPOSE(hightechmanu!C4:R4)</f>
        <v>6.2935055811419902</v>
      </c>
      <c r="G34" s="11" cm="1">
        <f t="array" ref="G34:G49">TRANSPOSE(gdppercapita!D4:S4)</f>
        <v>5888.5708140393199</v>
      </c>
      <c r="H34" s="11" cm="1">
        <f t="array" ref="H34:H49">TRANSPOSE(gdpannual!D5:S5)</f>
        <v>6.6543879242260804</v>
      </c>
      <c r="I34" s="11" cm="1">
        <f t="array" ref="I34:I49">TRANSPOSE(fixedbroadband!D26:S26)</f>
        <v>8.29162</v>
      </c>
      <c r="J34" s="12" cm="1">
        <f t="array" ref="J34:J49">TRANSPOSE(rdexpediture!D3:S3)</f>
        <v>0.43003000000000002</v>
      </c>
      <c r="K34" s="11" cm="1">
        <f t="array" ref="K34:K49">TRANSPOSE(YOUTH_EMPLOY!D4:S4)</f>
        <v>15.183</v>
      </c>
      <c r="L34" s="11">
        <f t="array" ref="L34:L49">TRANSPOSE(mobile_celular!D17:S17)</f>
        <v>130.45500000000001</v>
      </c>
      <c r="M34" s="11">
        <f t="array" ref="M34:M49">TRANSPOSE(unemployEAD!C4:R4)</f>
        <v>5.7610000000000001</v>
      </c>
      <c r="N34" s="10"/>
      <c r="O34" s="10"/>
      <c r="P34" s="10"/>
      <c r="Q34" s="10"/>
      <c r="R34" s="10"/>
      <c r="S34" s="10"/>
      <c r="T34" s="10"/>
    </row>
    <row r="35" spans="1:20" x14ac:dyDescent="0.3">
      <c r="A35" s="10" t="s">
        <v>40</v>
      </c>
      <c r="B35" s="10">
        <v>2008</v>
      </c>
      <c r="C35" s="10">
        <v>50.79</v>
      </c>
      <c r="D35" s="11">
        <v>39.67</v>
      </c>
      <c r="E35" s="10">
        <v>2.17</v>
      </c>
      <c r="F35" s="11">
        <v>6.9730376031482901</v>
      </c>
      <c r="G35" s="11">
        <v>7271.3033885802497</v>
      </c>
      <c r="H35" s="11">
        <v>6.1295584157920704</v>
      </c>
      <c r="I35" s="11">
        <v>11.1942</v>
      </c>
      <c r="J35" s="12">
        <v>0.44730999999999999</v>
      </c>
      <c r="K35" s="11">
        <v>12.804</v>
      </c>
      <c r="L35" s="11">
        <v>138.39699999999999</v>
      </c>
      <c r="M35" s="11">
        <v>4.5140000000000002</v>
      </c>
      <c r="N35" s="10"/>
      <c r="O35" s="10"/>
      <c r="P35" s="10"/>
      <c r="Q35" s="10"/>
      <c r="R35" s="10"/>
      <c r="S35" s="10"/>
      <c r="T35" s="10"/>
    </row>
    <row r="36" spans="1:20" x14ac:dyDescent="0.3">
      <c r="A36" s="10" t="s">
        <v>40</v>
      </c>
      <c r="B36" s="10">
        <v>2009</v>
      </c>
      <c r="C36" s="10">
        <v>49.406999999999996</v>
      </c>
      <c r="D36" s="11">
        <v>45</v>
      </c>
      <c r="E36" s="10">
        <v>3.02</v>
      </c>
      <c r="F36" s="11">
        <v>8.6660332828317799</v>
      </c>
      <c r="G36" s="11">
        <v>6988.2731629646396</v>
      </c>
      <c r="H36" s="11">
        <v>-3.34714149737695</v>
      </c>
      <c r="I36" s="11">
        <v>13.3284</v>
      </c>
      <c r="J36" s="12">
        <v>0.49337999999999999</v>
      </c>
      <c r="K36" s="11">
        <v>16.263000000000002</v>
      </c>
      <c r="L36" s="11">
        <v>139.62100000000001</v>
      </c>
      <c r="M36" s="11">
        <v>6.1589999999999998</v>
      </c>
      <c r="N36" s="10"/>
      <c r="O36" s="10"/>
      <c r="P36" s="10"/>
      <c r="Q36" s="10"/>
      <c r="R36" s="10"/>
      <c r="S36" s="10"/>
      <c r="T36" s="10"/>
    </row>
    <row r="37" spans="1:20" x14ac:dyDescent="0.3">
      <c r="A37" s="10" t="s">
        <v>40</v>
      </c>
      <c r="B37" s="10">
        <v>2010</v>
      </c>
      <c r="C37" s="10">
        <v>47.905000000000001</v>
      </c>
      <c r="D37" s="11">
        <v>46.23</v>
      </c>
      <c r="E37" s="10">
        <v>2.4700000000000002</v>
      </c>
      <c r="F37" s="11">
        <v>8.4042515769835706</v>
      </c>
      <c r="G37" s="11">
        <v>6853.9480551117003</v>
      </c>
      <c r="H37" s="11">
        <v>1.55535979911014</v>
      </c>
      <c r="I37" s="11">
        <v>15.1221</v>
      </c>
      <c r="J37" s="12">
        <v>0.56298999999999999</v>
      </c>
      <c r="K37" s="11">
        <v>21.95</v>
      </c>
      <c r="L37" s="11">
        <v>137.13999999999999</v>
      </c>
      <c r="M37" s="11">
        <v>9.6920000000000002</v>
      </c>
      <c r="N37" s="10"/>
      <c r="O37" s="10"/>
      <c r="P37" s="10"/>
      <c r="Q37" s="10"/>
      <c r="R37" s="10"/>
      <c r="S37" s="10"/>
      <c r="T37" s="10"/>
    </row>
    <row r="38" spans="1:20" x14ac:dyDescent="0.3">
      <c r="A38" s="10" t="s">
        <v>40</v>
      </c>
      <c r="B38" s="10">
        <v>2011</v>
      </c>
      <c r="C38" s="10">
        <v>46.598999999999997</v>
      </c>
      <c r="D38" s="11">
        <v>47.98</v>
      </c>
      <c r="E38" s="10">
        <v>2.13</v>
      </c>
      <c r="F38" s="11">
        <v>7.8156879376438999</v>
      </c>
      <c r="G38" s="11">
        <v>7849.5806130281699</v>
      </c>
      <c r="H38" s="11">
        <v>2.0901750775860299</v>
      </c>
      <c r="I38" s="11">
        <v>17.029699999999998</v>
      </c>
      <c r="J38" s="12">
        <v>0.52949999999999997</v>
      </c>
      <c r="K38" s="11">
        <v>25.056000000000001</v>
      </c>
      <c r="L38" s="11">
        <v>141.93799999999999</v>
      </c>
      <c r="M38" s="11">
        <v>10.462</v>
      </c>
      <c r="N38" s="10"/>
      <c r="O38" s="10"/>
      <c r="P38" s="10"/>
      <c r="Q38" s="10"/>
      <c r="R38" s="10"/>
      <c r="S38" s="10"/>
      <c r="T38" s="10"/>
    </row>
    <row r="39" spans="1:20" x14ac:dyDescent="0.3">
      <c r="A39" s="10" t="s">
        <v>40</v>
      </c>
      <c r="B39" s="10">
        <v>2012</v>
      </c>
      <c r="C39" s="10">
        <v>46.566000000000003</v>
      </c>
      <c r="D39" s="11">
        <v>51.9</v>
      </c>
      <c r="E39" s="10">
        <v>1.96</v>
      </c>
      <c r="F39" s="11">
        <v>8.0475539275056196</v>
      </c>
      <c r="G39" s="11">
        <v>7431.9578950886998</v>
      </c>
      <c r="H39" s="11">
        <v>0.74881541192883105</v>
      </c>
      <c r="I39" s="11">
        <v>18.200700000000001</v>
      </c>
      <c r="J39" s="12">
        <v>0.60038999999999998</v>
      </c>
      <c r="K39" s="11">
        <v>28.11</v>
      </c>
      <c r="L39" s="11">
        <v>147.33799999999999</v>
      </c>
      <c r="M39" s="11">
        <v>11.667</v>
      </c>
      <c r="N39" s="10"/>
      <c r="O39" s="10"/>
      <c r="P39" s="10"/>
      <c r="Q39" s="10"/>
      <c r="R39" s="10"/>
      <c r="S39" s="10"/>
      <c r="T39" s="10"/>
    </row>
    <row r="40" spans="1:20" x14ac:dyDescent="0.3">
      <c r="A40" s="10" t="s">
        <v>40</v>
      </c>
      <c r="B40" s="10">
        <v>2013</v>
      </c>
      <c r="C40" s="10">
        <v>46.924999999999997</v>
      </c>
      <c r="D40" s="11">
        <v>53.061500000000002</v>
      </c>
      <c r="E40" s="10">
        <v>2.35</v>
      </c>
      <c r="F40" s="11">
        <v>8.2944021933670502</v>
      </c>
      <c r="G40" s="11">
        <v>7795.9809210892799</v>
      </c>
      <c r="H40" s="11">
        <v>-0.54275138886113405</v>
      </c>
      <c r="I40" s="11">
        <v>19.568200000000001</v>
      </c>
      <c r="J40" s="12">
        <v>0.63424000000000003</v>
      </c>
      <c r="K40" s="11">
        <v>28.373999999999999</v>
      </c>
      <c r="L40" s="11">
        <v>144.35499999999999</v>
      </c>
      <c r="M40" s="11">
        <v>12.33</v>
      </c>
      <c r="N40" s="10"/>
      <c r="O40" s="10"/>
      <c r="P40" s="10"/>
      <c r="Q40" s="10"/>
      <c r="R40" s="10"/>
      <c r="S40" s="10"/>
      <c r="T40" s="10"/>
    </row>
    <row r="41" spans="1:20" x14ac:dyDescent="0.3">
      <c r="A41" s="10" t="s">
        <v>40</v>
      </c>
      <c r="B41" s="10">
        <v>2014</v>
      </c>
      <c r="C41" s="10">
        <v>47.957999999999998</v>
      </c>
      <c r="D41" s="11">
        <v>55.490400000000001</v>
      </c>
      <c r="E41" s="10">
        <v>2.52</v>
      </c>
      <c r="F41" s="11">
        <v>7.5780008677320296</v>
      </c>
      <c r="G41" s="11">
        <v>8069.6000566768398</v>
      </c>
      <c r="H41" s="11">
        <v>0.94944909094789398</v>
      </c>
      <c r="I41" s="11">
        <v>20.501100000000001</v>
      </c>
      <c r="J41" s="12">
        <v>0.79007000000000005</v>
      </c>
      <c r="K41" s="11">
        <v>23.774000000000001</v>
      </c>
      <c r="L41" s="11">
        <v>131.33500000000001</v>
      </c>
      <c r="M41" s="11">
        <v>10.647</v>
      </c>
      <c r="N41" s="10"/>
      <c r="O41" s="10"/>
      <c r="P41" s="10"/>
      <c r="Q41" s="10"/>
      <c r="R41" s="10"/>
      <c r="S41" s="10"/>
      <c r="T41" s="10"/>
    </row>
    <row r="42" spans="1:20" x14ac:dyDescent="0.3">
      <c r="A42" s="10" t="s">
        <v>40</v>
      </c>
      <c r="B42" s="10">
        <v>2015</v>
      </c>
      <c r="C42" s="10">
        <v>49.124000000000002</v>
      </c>
      <c r="D42" s="11">
        <v>56.656300000000002</v>
      </c>
      <c r="E42" s="10">
        <v>2.9</v>
      </c>
      <c r="F42" s="11">
        <v>8.4502667133510698</v>
      </c>
      <c r="G42" s="11">
        <v>7268.6544547387202</v>
      </c>
      <c r="H42" s="11">
        <v>3.3975533678041199</v>
      </c>
      <c r="I42" s="11">
        <v>22.494399999999999</v>
      </c>
      <c r="J42" s="12">
        <v>0.94947000000000004</v>
      </c>
      <c r="K42" s="11">
        <v>21.652999999999999</v>
      </c>
      <c r="L42" s="11">
        <v>128.10300000000001</v>
      </c>
      <c r="M42" s="11">
        <v>8.3260000000000005</v>
      </c>
      <c r="N42" s="10"/>
      <c r="O42" s="10"/>
      <c r="P42" s="10"/>
      <c r="Q42" s="10"/>
      <c r="R42" s="10"/>
      <c r="S42" s="10"/>
      <c r="T42" s="10"/>
    </row>
    <row r="43" spans="1:20" x14ac:dyDescent="0.3">
      <c r="A43" s="10" t="s">
        <v>40</v>
      </c>
      <c r="B43" s="10">
        <v>2016</v>
      </c>
      <c r="C43" s="10">
        <v>49.292000000000002</v>
      </c>
      <c r="D43" s="11">
        <v>59.825499999999998</v>
      </c>
      <c r="E43" s="10">
        <v>2.85</v>
      </c>
      <c r="F43" s="11">
        <v>8.9861030529870707</v>
      </c>
      <c r="G43" s="11">
        <v>7822.4992329296801</v>
      </c>
      <c r="H43" s="11">
        <v>3.0266284122951599</v>
      </c>
      <c r="I43" s="11">
        <v>23.817699999999999</v>
      </c>
      <c r="J43" s="12">
        <v>0.77009000000000005</v>
      </c>
      <c r="K43" s="11">
        <v>17.224</v>
      </c>
      <c r="L43" s="11">
        <v>125.90600000000001</v>
      </c>
      <c r="M43" s="11">
        <v>6.718</v>
      </c>
      <c r="N43" s="10"/>
      <c r="O43" s="10"/>
      <c r="P43" s="10"/>
      <c r="Q43" s="10"/>
      <c r="R43" s="10"/>
      <c r="S43" s="10"/>
      <c r="T43" s="10"/>
    </row>
    <row r="44" spans="1:20" x14ac:dyDescent="0.3">
      <c r="A44" s="10" t="s">
        <v>40</v>
      </c>
      <c r="B44" s="10">
        <v>2017</v>
      </c>
      <c r="C44" s="10">
        <v>51.942</v>
      </c>
      <c r="D44" s="11">
        <v>63.4101</v>
      </c>
      <c r="E44" s="10">
        <v>2.75</v>
      </c>
      <c r="F44" s="11">
        <v>9.6360885454945198</v>
      </c>
      <c r="G44" s="11">
        <v>8696.6893042792308</v>
      </c>
      <c r="H44" s="11">
        <v>2.7459267605486102</v>
      </c>
      <c r="I44" s="11">
        <v>25.392499999999998</v>
      </c>
      <c r="J44" s="12">
        <v>0.74036999999999997</v>
      </c>
      <c r="K44" s="11">
        <v>12.927</v>
      </c>
      <c r="L44" s="11">
        <v>120.596</v>
      </c>
      <c r="M44" s="11">
        <v>5.26</v>
      </c>
      <c r="N44" s="10"/>
      <c r="O44" s="10"/>
      <c r="P44" s="10"/>
      <c r="Q44" s="10"/>
      <c r="R44" s="10"/>
      <c r="S44" s="10"/>
      <c r="T44" s="10"/>
    </row>
    <row r="45" spans="1:20" x14ac:dyDescent="0.3">
      <c r="A45" s="10" t="s">
        <v>40</v>
      </c>
      <c r="B45" s="10">
        <v>2018</v>
      </c>
      <c r="C45" s="10">
        <v>52.44</v>
      </c>
      <c r="D45" s="11">
        <v>64.781999999999996</v>
      </c>
      <c r="E45" s="10">
        <v>3.25</v>
      </c>
      <c r="F45" s="11">
        <v>10.3728902592084</v>
      </c>
      <c r="G45" s="11">
        <v>9849.3839722517405</v>
      </c>
      <c r="H45" s="11">
        <v>2.3301521340704401</v>
      </c>
      <c r="I45" s="11">
        <v>27.103400000000001</v>
      </c>
      <c r="J45" s="12">
        <v>0.75412999999999997</v>
      </c>
      <c r="K45" s="11">
        <v>12.676</v>
      </c>
      <c r="L45" s="11">
        <v>119.395</v>
      </c>
      <c r="M45" s="11">
        <v>4.5060000000000002</v>
      </c>
      <c r="N45" s="10"/>
      <c r="O45" s="10"/>
      <c r="P45" s="10"/>
      <c r="Q45" s="10"/>
      <c r="R45" s="10"/>
      <c r="S45" s="10"/>
      <c r="T45" s="10"/>
    </row>
    <row r="46" spans="1:20" x14ac:dyDescent="0.3">
      <c r="A46" s="10" t="s">
        <v>40</v>
      </c>
      <c r="B46" s="10">
        <v>2019</v>
      </c>
      <c r="C46" s="10">
        <v>53.651000000000003</v>
      </c>
      <c r="D46" s="11">
        <v>67.947000000000003</v>
      </c>
      <c r="E46" s="10">
        <v>3.21</v>
      </c>
      <c r="F46" s="11">
        <v>10.852310176050601</v>
      </c>
      <c r="G46" s="11">
        <v>10353.720458412699</v>
      </c>
      <c r="H46" s="11">
        <v>3.7933176535415201</v>
      </c>
      <c r="I46" s="11">
        <v>28.883700000000001</v>
      </c>
      <c r="J46" s="12">
        <v>0.83274000000000004</v>
      </c>
      <c r="K46" s="11">
        <v>8.8979999999999997</v>
      </c>
      <c r="L46" s="11">
        <v>116.617</v>
      </c>
      <c r="M46" s="11">
        <v>3.3879999999999999</v>
      </c>
      <c r="N46" s="10"/>
      <c r="O46" s="10"/>
      <c r="P46" s="10"/>
      <c r="Q46" s="10"/>
      <c r="R46" s="10"/>
      <c r="S46" s="10"/>
      <c r="T46" s="10"/>
    </row>
    <row r="47" spans="1:20" x14ac:dyDescent="0.3">
      <c r="A47" s="10" t="s">
        <v>40</v>
      </c>
      <c r="B47" s="10">
        <v>2020</v>
      </c>
      <c r="C47" s="10">
        <v>52.274000000000001</v>
      </c>
      <c r="D47" s="11">
        <v>70.162499999999994</v>
      </c>
      <c r="E47" s="10">
        <v>3.42</v>
      </c>
      <c r="F47" s="11">
        <v>11.303272578422201</v>
      </c>
      <c r="G47" s="11">
        <v>10760.211975413</v>
      </c>
      <c r="H47" s="11">
        <v>-3.1332330307641798</v>
      </c>
      <c r="I47" s="11">
        <v>30.504300000000001</v>
      </c>
      <c r="J47" s="12">
        <v>0.84967000000000004</v>
      </c>
      <c r="K47" s="11">
        <v>14.214</v>
      </c>
      <c r="L47" s="11">
        <v>114.59699999999999</v>
      </c>
      <c r="M47" s="11">
        <v>4.7069999999999999</v>
      </c>
      <c r="N47" s="10"/>
      <c r="O47" s="10"/>
      <c r="P47" s="10"/>
      <c r="Q47" s="10"/>
      <c r="R47" s="10"/>
      <c r="S47" s="10"/>
      <c r="T47" s="10"/>
    </row>
    <row r="48" spans="1:20" x14ac:dyDescent="0.3">
      <c r="A48" s="10" t="s">
        <v>40</v>
      </c>
      <c r="B48" s="10">
        <v>2021</v>
      </c>
      <c r="C48" s="10">
        <v>51.658000000000001</v>
      </c>
      <c r="D48" s="11">
        <v>75.2714</v>
      </c>
      <c r="E48" s="10">
        <v>3.29</v>
      </c>
      <c r="F48" s="11">
        <v>10.924473573821301</v>
      </c>
      <c r="G48" s="11">
        <v>12966.145754339601</v>
      </c>
      <c r="H48" s="11">
        <v>7.8281723282216502</v>
      </c>
      <c r="I48" s="11">
        <v>32.768799999999999</v>
      </c>
      <c r="J48" s="12">
        <v>0.77278000000000002</v>
      </c>
      <c r="K48" s="11">
        <v>15.823</v>
      </c>
      <c r="L48" s="11">
        <v>114.91200000000001</v>
      </c>
      <c r="M48" s="11">
        <v>4.915</v>
      </c>
      <c r="N48" s="10"/>
      <c r="O48" s="10"/>
      <c r="P48" s="10"/>
      <c r="Q48" s="10"/>
      <c r="R48" s="10"/>
      <c r="S48" s="10"/>
      <c r="T48" s="10"/>
    </row>
    <row r="49" spans="1:20" x14ac:dyDescent="0.3">
      <c r="A49" s="10" t="s">
        <v>40</v>
      </c>
      <c r="B49" s="10">
        <v>2022</v>
      </c>
      <c r="C49" s="10">
        <v>53.154000000000003</v>
      </c>
      <c r="D49" s="11">
        <v>79.126900000000006</v>
      </c>
      <c r="E49" s="10">
        <v>3.31</v>
      </c>
      <c r="F49" s="11">
        <v>10.3826775418568</v>
      </c>
      <c r="G49" s="11">
        <v>13999.194953095501</v>
      </c>
      <c r="H49" s="11">
        <v>4.0838640915122904</v>
      </c>
      <c r="I49" s="11">
        <v>34.966799999999999</v>
      </c>
      <c r="J49" s="12">
        <v>0.75421000000000005</v>
      </c>
      <c r="K49" s="11">
        <v>10.742000000000001</v>
      </c>
      <c r="L49" s="11">
        <v>116.679</v>
      </c>
      <c r="M49" s="11">
        <v>4.024</v>
      </c>
      <c r="N49" s="10"/>
      <c r="O49" s="10"/>
      <c r="P49" s="10"/>
      <c r="Q49" s="10"/>
      <c r="R49" s="10"/>
      <c r="S49" s="10"/>
      <c r="T49" s="10"/>
    </row>
    <row r="50" spans="1:20" x14ac:dyDescent="0.3">
      <c r="A50" s="13" t="s">
        <v>77</v>
      </c>
      <c r="B50" s="13">
        <v>2007</v>
      </c>
      <c r="C50" s="13">
        <f t="array" ref="C50:C65">TRANSPOSE(EMPLOYrate!D4:S4)</f>
        <v>61.863</v>
      </c>
      <c r="D50" s="14">
        <v>40.770000000000003</v>
      </c>
      <c r="E50" s="13">
        <f t="array" ref="E50:E65">TRANSPOSE(ictgoods!D3:S3)</f>
        <v>6.21</v>
      </c>
      <c r="F50" s="14" cm="1">
        <f t="array" ref="F50:F65">TRANSPOSE(hightechmanu!C5:R5)</f>
        <v>31.295656200092701</v>
      </c>
      <c r="G50" s="14" cm="1">
        <f t="array" ref="G50:G65">TRANSPOSE(gdppercapita!D5:S5)</f>
        <v>31244.87890625</v>
      </c>
      <c r="H50" s="14" cm="1">
        <f t="array" ref="H50:H65">TRANSPOSE(gdpannual!D8:S8)</f>
        <v>5.0982261485479796</v>
      </c>
      <c r="I50" s="14" cm="1">
        <f t="array" ref="I50:I65">TRANSPOSE(fixedbroadband!D16:S16)</f>
        <v>12.5725</v>
      </c>
      <c r="J50" s="15" cm="1">
        <f t="array" ref="J50:J65">TRANSPOSE(rdexpediture!D11:S11)</f>
        <v>0.40006999999999998</v>
      </c>
      <c r="K50" s="14" cm="1">
        <f t="array" ref="K50:K65">TRANSPOSE(YOUTH_EMPLOY!D5:S5)</f>
        <v>9.4860000000000007</v>
      </c>
      <c r="L50" s="14">
        <f t="array" ref="L50:L65">TRANSPOSE(mobile_celular!D2:S2)</f>
        <v>127.294</v>
      </c>
      <c r="M50" s="14">
        <f t="array" ref="M50:M65">TRANSPOSE(unemployEAD!C5:R5)</f>
        <v>3.915</v>
      </c>
      <c r="N50" s="13"/>
      <c r="O50" s="13"/>
      <c r="P50" s="13"/>
      <c r="Q50" s="13"/>
      <c r="R50" s="13"/>
      <c r="S50" s="13"/>
      <c r="T50" s="13"/>
    </row>
    <row r="51" spans="1:20" x14ac:dyDescent="0.3">
      <c r="A51" s="13" t="s">
        <v>77</v>
      </c>
      <c r="B51" s="13">
        <v>2008</v>
      </c>
      <c r="C51" s="13">
        <v>61.86</v>
      </c>
      <c r="D51" s="14">
        <v>42.31</v>
      </c>
      <c r="E51" s="13">
        <v>6.81</v>
      </c>
      <c r="F51" s="14">
        <v>32.017237218952801</v>
      </c>
      <c r="G51" s="14">
        <v>35397.296875</v>
      </c>
      <c r="H51" s="14">
        <v>3.6469892210393899</v>
      </c>
      <c r="I51" s="14">
        <v>18.481100000000001</v>
      </c>
      <c r="J51" s="15">
        <v>0.38594000000000001</v>
      </c>
      <c r="K51" s="14">
        <v>8.532</v>
      </c>
      <c r="L51" s="14">
        <v>127.587</v>
      </c>
      <c r="M51" s="14">
        <v>3.7290000000000001</v>
      </c>
      <c r="N51" s="13"/>
      <c r="O51" s="13"/>
      <c r="P51" s="13"/>
      <c r="Q51" s="13"/>
      <c r="R51" s="13"/>
      <c r="S51" s="13"/>
      <c r="T51" s="13"/>
    </row>
    <row r="52" spans="1:20" x14ac:dyDescent="0.3">
      <c r="A52" s="13" t="s">
        <v>77</v>
      </c>
      <c r="B52" s="13">
        <v>2009</v>
      </c>
      <c r="C52" s="13">
        <v>60.308</v>
      </c>
      <c r="D52" s="14">
        <v>49.81</v>
      </c>
      <c r="E52" s="13">
        <v>8.98</v>
      </c>
      <c r="F52" s="14">
        <v>32.529426203260797</v>
      </c>
      <c r="G52" s="14">
        <v>32236.44921875</v>
      </c>
      <c r="H52" s="14">
        <v>-2.0150820368369402</v>
      </c>
      <c r="I52" s="14">
        <v>21.489899999999999</v>
      </c>
      <c r="J52" s="15">
        <v>0.44436999999999999</v>
      </c>
      <c r="K52" s="14">
        <v>13.276</v>
      </c>
      <c r="L52" s="14">
        <v>119.34099999999999</v>
      </c>
      <c r="M52" s="14">
        <v>5.84</v>
      </c>
      <c r="N52" s="13"/>
      <c r="O52" s="13"/>
      <c r="P52" s="13"/>
      <c r="Q52" s="13"/>
      <c r="R52" s="13"/>
      <c r="S52" s="13"/>
      <c r="T52" s="13"/>
    </row>
    <row r="53" spans="1:20" x14ac:dyDescent="0.3">
      <c r="A53" s="13" t="s">
        <v>77</v>
      </c>
      <c r="B53" s="13">
        <v>2010</v>
      </c>
      <c r="C53" s="13">
        <v>60.246000000000002</v>
      </c>
      <c r="D53" s="14">
        <v>52.99</v>
      </c>
      <c r="E53" s="13">
        <v>9.17</v>
      </c>
      <c r="F53" s="14">
        <v>38.201519810953599</v>
      </c>
      <c r="G53" s="14">
        <v>31105.02734375</v>
      </c>
      <c r="H53" s="14">
        <v>2.2826710011978801</v>
      </c>
      <c r="I53" s="14">
        <v>23.154900000000001</v>
      </c>
      <c r="J53" s="15">
        <v>0.44291999999999998</v>
      </c>
      <c r="K53" s="14">
        <v>15.852</v>
      </c>
      <c r="L53" s="14">
        <v>123.133</v>
      </c>
      <c r="M53" s="14">
        <v>6.4489999999999998</v>
      </c>
      <c r="N53" s="13"/>
      <c r="O53" s="13"/>
      <c r="P53" s="13"/>
      <c r="Q53" s="13"/>
      <c r="R53" s="13"/>
      <c r="S53" s="13"/>
      <c r="T53" s="13"/>
    </row>
    <row r="54" spans="1:20" x14ac:dyDescent="0.3">
      <c r="A54" s="13" t="s">
        <v>77</v>
      </c>
      <c r="B54" s="13">
        <v>2011</v>
      </c>
      <c r="C54" s="13">
        <v>58.728999999999999</v>
      </c>
      <c r="D54" s="14">
        <v>56.859900000000003</v>
      </c>
      <c r="E54" s="13">
        <v>5.64</v>
      </c>
      <c r="F54" s="14">
        <v>30.358543546918298</v>
      </c>
      <c r="G54" s="14">
        <v>32485.798828125</v>
      </c>
      <c r="H54" s="14">
        <v>0.41671186840868302</v>
      </c>
      <c r="I54" s="14">
        <v>24.6113</v>
      </c>
      <c r="J54" s="15">
        <v>0.45262999999999998</v>
      </c>
      <c r="K54" s="14">
        <v>21.155999999999999</v>
      </c>
      <c r="L54" s="14">
        <v>126.56</v>
      </c>
      <c r="M54" s="14">
        <v>8.8780000000000001</v>
      </c>
      <c r="N54" s="13"/>
      <c r="O54" s="13"/>
      <c r="P54" s="13"/>
      <c r="Q54" s="13"/>
      <c r="R54" s="13"/>
      <c r="S54" s="13"/>
      <c r="T54" s="13"/>
    </row>
    <row r="55" spans="1:20" x14ac:dyDescent="0.3">
      <c r="A55" s="13" t="s">
        <v>77</v>
      </c>
      <c r="B55" s="13">
        <v>2012</v>
      </c>
      <c r="C55" s="13">
        <v>55.945999999999998</v>
      </c>
      <c r="D55" s="14">
        <v>60.689900000000002</v>
      </c>
      <c r="E55" s="13">
        <v>3.48</v>
      </c>
      <c r="F55" s="14">
        <v>16.5914967808238</v>
      </c>
      <c r="G55" s="14">
        <v>28991.935546875</v>
      </c>
      <c r="H55" s="14">
        <v>-3.4473815137458601</v>
      </c>
      <c r="I55" s="14">
        <v>25.4741</v>
      </c>
      <c r="J55" s="15">
        <v>0.43764999999999998</v>
      </c>
      <c r="K55" s="14">
        <v>27.244</v>
      </c>
      <c r="L55" s="14">
        <v>128.298</v>
      </c>
      <c r="M55" s="14">
        <v>13.06</v>
      </c>
      <c r="N55" s="13"/>
      <c r="O55" s="13"/>
      <c r="P55" s="13"/>
      <c r="Q55" s="13"/>
      <c r="R55" s="13"/>
      <c r="S55" s="13"/>
      <c r="T55" s="13"/>
    </row>
    <row r="56" spans="1:20" x14ac:dyDescent="0.3">
      <c r="A56" s="13" t="s">
        <v>77</v>
      </c>
      <c r="B56" s="13">
        <v>2013</v>
      </c>
      <c r="C56" s="13">
        <v>53.252000000000002</v>
      </c>
      <c r="D56" s="14">
        <v>65.454800000000006</v>
      </c>
      <c r="E56" s="13">
        <v>3.88</v>
      </c>
      <c r="F56" s="14">
        <v>13.0833984575067</v>
      </c>
      <c r="G56" s="14">
        <v>27764.73046875</v>
      </c>
      <c r="H56" s="14">
        <v>-6.5874775111834598</v>
      </c>
      <c r="I56" s="14">
        <v>26.712700000000002</v>
      </c>
      <c r="J56" s="15">
        <v>0.48485</v>
      </c>
      <c r="K56" s="14">
        <v>38.082999999999998</v>
      </c>
      <c r="L56" s="14">
        <v>128.161</v>
      </c>
      <c r="M56" s="14">
        <v>17.434000000000001</v>
      </c>
      <c r="N56" s="13"/>
      <c r="O56" s="13"/>
      <c r="P56" s="13"/>
      <c r="Q56" s="13"/>
      <c r="R56" s="13"/>
      <c r="S56" s="13"/>
      <c r="T56" s="13"/>
    </row>
    <row r="57" spans="1:20" x14ac:dyDescent="0.3">
      <c r="A57" s="13" t="s">
        <v>77</v>
      </c>
      <c r="B57" s="13">
        <v>2014</v>
      </c>
      <c r="C57" s="13">
        <v>53.493000000000002</v>
      </c>
      <c r="D57" s="14">
        <v>69.328699999999998</v>
      </c>
      <c r="E57" s="13">
        <v>2.93</v>
      </c>
      <c r="F57" s="14">
        <v>14.5282633236727</v>
      </c>
      <c r="G57" s="14">
        <v>26993.103515625</v>
      </c>
      <c r="H57" s="14">
        <v>-1.77605867728615</v>
      </c>
      <c r="I57" s="14">
        <v>28.761600000000001</v>
      </c>
      <c r="J57" s="15">
        <v>0.51205000000000001</v>
      </c>
      <c r="K57" s="14">
        <v>35.515999999999998</v>
      </c>
      <c r="L57" s="14">
        <v>131.14500000000001</v>
      </c>
      <c r="M57" s="14">
        <v>18.396000000000001</v>
      </c>
      <c r="N57" s="13"/>
      <c r="O57" s="13"/>
      <c r="P57" s="13"/>
      <c r="Q57" s="13"/>
      <c r="R57" s="13"/>
      <c r="S57" s="13"/>
      <c r="T57" s="13"/>
    </row>
    <row r="58" spans="1:20" x14ac:dyDescent="0.3">
      <c r="A58" s="13" t="s">
        <v>77</v>
      </c>
      <c r="B58" s="13">
        <v>2015</v>
      </c>
      <c r="C58" s="13">
        <v>53.003999999999998</v>
      </c>
      <c r="D58" s="14">
        <v>71.715699999999998</v>
      </c>
      <c r="E58" s="13">
        <v>3.56</v>
      </c>
      <c r="F58" s="14">
        <v>12.7108239034115</v>
      </c>
      <c r="G58" s="14">
        <v>23088.44140625</v>
      </c>
      <c r="H58" s="14">
        <v>3.4189203888901201</v>
      </c>
      <c r="I58" s="14">
        <v>30.725000000000001</v>
      </c>
      <c r="J58" s="15">
        <v>0.47528999999999999</v>
      </c>
      <c r="K58" s="14">
        <v>32.539000000000001</v>
      </c>
      <c r="L58" s="14">
        <v>130.982</v>
      </c>
      <c r="M58" s="14">
        <v>16.675999999999998</v>
      </c>
      <c r="N58" s="13"/>
      <c r="O58" s="13"/>
      <c r="P58" s="13"/>
      <c r="Q58" s="13"/>
      <c r="R58" s="13"/>
      <c r="S58" s="13"/>
      <c r="T58" s="13"/>
    </row>
    <row r="59" spans="1:20" x14ac:dyDescent="0.3">
      <c r="A59" s="13" t="s">
        <v>77</v>
      </c>
      <c r="B59" s="13">
        <v>2016</v>
      </c>
      <c r="C59" s="13">
        <v>53.326999999999998</v>
      </c>
      <c r="D59" s="14">
        <v>75.900199999999998</v>
      </c>
      <c r="E59" s="13">
        <v>4.8</v>
      </c>
      <c r="F59" s="14">
        <v>13.3285149968645</v>
      </c>
      <c r="G59" s="14">
        <v>24280.056640625</v>
      </c>
      <c r="H59" s="14">
        <v>6.5735908092467801</v>
      </c>
      <c r="I59" s="14">
        <v>32.578699999999998</v>
      </c>
      <c r="J59" s="15">
        <v>0.51970000000000005</v>
      </c>
      <c r="K59" s="14">
        <v>28.902000000000001</v>
      </c>
      <c r="L59" s="14">
        <v>132.637</v>
      </c>
      <c r="M59" s="14">
        <v>14.321</v>
      </c>
      <c r="N59" s="13"/>
      <c r="O59" s="13"/>
      <c r="P59" s="13"/>
      <c r="Q59" s="13"/>
      <c r="R59" s="13"/>
      <c r="S59" s="13"/>
      <c r="T59" s="13"/>
    </row>
    <row r="60" spans="1:20" x14ac:dyDescent="0.3">
      <c r="A60" s="13" t="s">
        <v>77</v>
      </c>
      <c r="B60" s="13">
        <v>2017</v>
      </c>
      <c r="C60" s="13">
        <v>54.822000000000003</v>
      </c>
      <c r="D60" s="14">
        <v>80.743200000000002</v>
      </c>
      <c r="E60" s="13">
        <v>4.91</v>
      </c>
      <c r="F60" s="14">
        <v>13.349961138736999</v>
      </c>
      <c r="G60" s="14">
        <v>26247.44921875</v>
      </c>
      <c r="H60" s="14">
        <v>5.75083236554525</v>
      </c>
      <c r="I60" s="14">
        <v>34.215000000000003</v>
      </c>
      <c r="J60" s="15">
        <v>0.54259000000000002</v>
      </c>
      <c r="K60" s="14">
        <v>25.013000000000002</v>
      </c>
      <c r="L60" s="14">
        <v>136.172</v>
      </c>
      <c r="M60" s="14">
        <v>11.467000000000001</v>
      </c>
      <c r="N60" s="13"/>
      <c r="O60" s="13"/>
      <c r="P60" s="13"/>
      <c r="Q60" s="13"/>
      <c r="R60" s="13"/>
      <c r="S60" s="13"/>
      <c r="T60" s="13"/>
    </row>
    <row r="61" spans="1:20" x14ac:dyDescent="0.3">
      <c r="A61" s="13" t="s">
        <v>77</v>
      </c>
      <c r="B61" s="13">
        <v>2018</v>
      </c>
      <c r="C61" s="13">
        <v>57.173999999999999</v>
      </c>
      <c r="D61" s="14">
        <v>84.433599999999998</v>
      </c>
      <c r="E61" s="13">
        <v>4.47</v>
      </c>
      <c r="F61" s="14">
        <v>19.856794088136802</v>
      </c>
      <c r="G61" s="14">
        <v>29120.375</v>
      </c>
      <c r="H61" s="14">
        <v>6.2716636005640396</v>
      </c>
      <c r="I61" s="14">
        <v>35.8108</v>
      </c>
      <c r="J61" s="15">
        <v>0.61404999999999998</v>
      </c>
      <c r="K61" s="14">
        <v>20.654</v>
      </c>
      <c r="L61" s="14">
        <v>137.04499999999999</v>
      </c>
      <c r="M61" s="14">
        <v>8.9969999999999999</v>
      </c>
      <c r="N61" s="13"/>
      <c r="O61" s="13"/>
      <c r="P61" s="13"/>
      <c r="Q61" s="13"/>
      <c r="R61" s="13"/>
      <c r="S61" s="13"/>
      <c r="T61" s="13"/>
    </row>
    <row r="62" spans="1:20" x14ac:dyDescent="0.3">
      <c r="A62" s="13" t="s">
        <v>77</v>
      </c>
      <c r="B62" s="13">
        <v>2019</v>
      </c>
      <c r="C62" s="13">
        <v>58.506999999999998</v>
      </c>
      <c r="D62" s="14">
        <v>86.063599999999994</v>
      </c>
      <c r="E62" s="13">
        <v>2.2999999999999998</v>
      </c>
      <c r="F62" s="14">
        <v>19.874215891300999</v>
      </c>
      <c r="G62" s="14">
        <v>29227.173828125</v>
      </c>
      <c r="H62" s="14">
        <v>5.8755958338660701</v>
      </c>
      <c r="I62" s="14">
        <v>36.775300000000001</v>
      </c>
      <c r="J62" s="15">
        <v>0.70945000000000003</v>
      </c>
      <c r="K62" s="14">
        <v>16.856000000000002</v>
      </c>
      <c r="L62" s="14">
        <v>139.994</v>
      </c>
      <c r="M62" s="14">
        <v>8.0570000000000004</v>
      </c>
      <c r="N62" s="13"/>
      <c r="O62" s="13"/>
      <c r="P62" s="13"/>
      <c r="Q62" s="13"/>
      <c r="R62" s="13"/>
      <c r="S62" s="13"/>
      <c r="T62" s="13"/>
    </row>
    <row r="63" spans="1:20" x14ac:dyDescent="0.3">
      <c r="A63" s="13" t="s">
        <v>77</v>
      </c>
      <c r="B63" s="13">
        <v>2020</v>
      </c>
      <c r="C63" s="13">
        <v>57.935000000000002</v>
      </c>
      <c r="D63" s="14">
        <v>90.801900000000003</v>
      </c>
      <c r="E63" s="13">
        <v>1.91</v>
      </c>
      <c r="F63" s="14">
        <v>12.2448277312995</v>
      </c>
      <c r="G63" s="14">
        <v>28130.341796875</v>
      </c>
      <c r="H63" s="14">
        <v>-3.2206301863756699</v>
      </c>
      <c r="I63" s="14">
        <v>37.0625</v>
      </c>
      <c r="J63" s="15">
        <v>0.83653999999999995</v>
      </c>
      <c r="K63" s="14">
        <v>18.491</v>
      </c>
      <c r="L63" s="14">
        <v>138.38800000000001</v>
      </c>
      <c r="M63" s="14">
        <v>8.6920000000000002</v>
      </c>
      <c r="N63" s="13"/>
      <c r="O63" s="13"/>
      <c r="P63" s="13"/>
      <c r="Q63" s="13"/>
      <c r="R63" s="13"/>
      <c r="S63" s="13"/>
      <c r="T63" s="13"/>
    </row>
    <row r="64" spans="1:20" x14ac:dyDescent="0.3">
      <c r="A64" s="13" t="s">
        <v>77</v>
      </c>
      <c r="B64" s="13">
        <v>2021</v>
      </c>
      <c r="C64" s="13">
        <v>59.034999999999997</v>
      </c>
      <c r="D64" s="14">
        <v>90.759500000000003</v>
      </c>
      <c r="E64" s="13">
        <v>2.1</v>
      </c>
      <c r="F64" s="14">
        <v>15.969002678663299</v>
      </c>
      <c r="G64" s="14">
        <v>32937.83984375</v>
      </c>
      <c r="H64" s="14">
        <v>11.397559080151099</v>
      </c>
      <c r="I64" s="14">
        <v>37.667099999999998</v>
      </c>
      <c r="J64" s="15">
        <v>0.80030000000000001</v>
      </c>
      <c r="K64" s="14">
        <v>17.172999999999998</v>
      </c>
      <c r="L64" s="14">
        <v>145.99199999999999</v>
      </c>
      <c r="M64" s="14">
        <v>8.81</v>
      </c>
      <c r="N64" s="13"/>
      <c r="O64" s="13"/>
      <c r="P64" s="13"/>
      <c r="Q64" s="13"/>
      <c r="R64" s="13"/>
      <c r="S64" s="13"/>
      <c r="T64" s="13"/>
    </row>
    <row r="65" spans="1:20" x14ac:dyDescent="0.3">
      <c r="A65" s="13" t="s">
        <v>77</v>
      </c>
      <c r="B65" s="13">
        <v>2022</v>
      </c>
      <c r="C65" s="13">
        <v>60.677999999999997</v>
      </c>
      <c r="D65" s="14">
        <v>89.600999999999999</v>
      </c>
      <c r="E65" s="13">
        <v>1.66</v>
      </c>
      <c r="F65" s="14">
        <v>17.659598122901102</v>
      </c>
      <c r="G65" s="14">
        <v>33231.04296875</v>
      </c>
      <c r="H65" s="14">
        <v>8.2737259729381307</v>
      </c>
      <c r="I65" s="14">
        <v>37.899799999999999</v>
      </c>
      <c r="J65" s="15">
        <v>0.74526999999999999</v>
      </c>
      <c r="K65" s="14">
        <v>18.707000000000001</v>
      </c>
      <c r="L65" s="14">
        <v>151.24100000000001</v>
      </c>
      <c r="M65" s="14">
        <v>7.7839999999999998</v>
      </c>
      <c r="N65" s="13"/>
      <c r="O65" s="13"/>
      <c r="P65" s="13"/>
      <c r="Q65" s="13"/>
      <c r="R65" s="13"/>
      <c r="S65" s="13"/>
      <c r="T65" s="13"/>
    </row>
    <row r="66" spans="1:20" x14ac:dyDescent="0.3">
      <c r="A66" s="16" t="s">
        <v>99</v>
      </c>
      <c r="B66" s="16">
        <v>2007</v>
      </c>
      <c r="C66" s="16">
        <f t="array" ref="C66:C81">TRANSPOSE(EMPLOYrate!D7:S7)</f>
        <v>55.646999999999998</v>
      </c>
      <c r="D66" s="17">
        <v>51.93</v>
      </c>
      <c r="E66" s="16">
        <f t="array" ref="E66:E81">TRANSPOSE(ictgoods!D19:S19)</f>
        <v>13.9</v>
      </c>
      <c r="F66" s="17" cm="1">
        <f t="array" ref="F66:F81">TRANSPOSE(hightechmanu!C6:R6)</f>
        <v>15.286165859306101</v>
      </c>
      <c r="G66" s="17" cm="1">
        <f t="array" ref="G66:G81">TRANSPOSE(gdppercapita!D27:S27)</f>
        <v>18452.653281219598</v>
      </c>
      <c r="H66" s="17" cm="1">
        <f t="array" ref="H66:H81">TRANSPOSE(gdpannual!D3:S3)</f>
        <v>5.4888259516451603</v>
      </c>
      <c r="I66" s="17" cm="1">
        <f t="array" ref="I66:I81">TRANSPOSE(fixedbroadband!D10:S10)</f>
        <v>14.4785</v>
      </c>
      <c r="J66" s="16" cm="1">
        <f t="array" ref="J66:J81">TRANSPOSE(rdexpediture!D12:S12)</f>
        <v>1.29572</v>
      </c>
      <c r="K66" s="17" cm="1">
        <f t="array" ref="K66:K81">TRANSPOSE(YOUTH_EMPLOY!D6:S6)</f>
        <v>10.734</v>
      </c>
      <c r="L66" s="17">
        <f t="array" ref="L66:L81">TRANSPOSE(mobile_celular!D28:S28)</f>
        <v>127.967</v>
      </c>
      <c r="M66" s="17">
        <f t="array" ref="M66:M81">TRANSPOSE(unemployEAD!C6:R6)</f>
        <v>4.7130000000000001</v>
      </c>
      <c r="N66" s="16"/>
      <c r="O66" s="16"/>
      <c r="P66" s="16"/>
      <c r="Q66" s="16"/>
      <c r="R66" s="16"/>
      <c r="S66" s="16"/>
      <c r="T66" s="16"/>
    </row>
    <row r="67" spans="1:20" x14ac:dyDescent="0.3">
      <c r="A67" s="16" t="s">
        <v>99</v>
      </c>
      <c r="B67" s="16">
        <v>2008</v>
      </c>
      <c r="C67" s="16">
        <v>55.933</v>
      </c>
      <c r="D67" s="17">
        <v>62.97</v>
      </c>
      <c r="E67" s="16">
        <v>14.11</v>
      </c>
      <c r="F67" s="17">
        <v>15.789935033415899</v>
      </c>
      <c r="G67" s="17">
        <v>22774.704507620499</v>
      </c>
      <c r="H67" s="17">
        <v>2.61226807205139</v>
      </c>
      <c r="I67" s="17">
        <v>16.954499999999999</v>
      </c>
      <c r="J67" s="16">
        <v>1.2335799999999999</v>
      </c>
      <c r="K67" s="17">
        <v>9.8740000000000006</v>
      </c>
      <c r="L67" s="17">
        <v>132.779</v>
      </c>
      <c r="M67" s="17">
        <v>3.673</v>
      </c>
      <c r="N67" s="16"/>
      <c r="O67" s="16"/>
      <c r="P67" s="16"/>
      <c r="Q67" s="16"/>
      <c r="R67" s="16"/>
      <c r="S67" s="16"/>
      <c r="T67" s="16"/>
    </row>
    <row r="68" spans="1:20" x14ac:dyDescent="0.3">
      <c r="A68" s="16" t="s">
        <v>99</v>
      </c>
      <c r="B68" s="16">
        <v>2009</v>
      </c>
      <c r="C68" s="16">
        <v>54.768000000000001</v>
      </c>
      <c r="D68" s="17">
        <v>64.430000000000007</v>
      </c>
      <c r="E68" s="16">
        <v>14.44</v>
      </c>
      <c r="F68" s="17">
        <v>17.443540679090798</v>
      </c>
      <c r="G68" s="17">
        <v>19817.421583655399</v>
      </c>
      <c r="H68" s="17">
        <v>-4.79832416684925</v>
      </c>
      <c r="I68" s="17">
        <v>19.538599999999999</v>
      </c>
      <c r="J68" s="16">
        <v>1.2865599999999999</v>
      </c>
      <c r="K68" s="17">
        <v>16.655999999999999</v>
      </c>
      <c r="L68" s="17">
        <v>125.349</v>
      </c>
      <c r="M68" s="17">
        <v>6.1429999999999998</v>
      </c>
      <c r="N68" s="16"/>
      <c r="O68" s="16"/>
      <c r="P68" s="16"/>
      <c r="Q68" s="16"/>
      <c r="R68" s="16"/>
      <c r="S68" s="16"/>
      <c r="T68" s="16"/>
    </row>
    <row r="69" spans="1:20" x14ac:dyDescent="0.3">
      <c r="A69" s="16" t="s">
        <v>99</v>
      </c>
      <c r="B69" s="16">
        <v>2010</v>
      </c>
      <c r="C69" s="16">
        <v>54.188000000000002</v>
      </c>
      <c r="D69" s="17">
        <v>68.819999999999993</v>
      </c>
      <c r="E69" s="16">
        <v>15.01</v>
      </c>
      <c r="F69" s="17">
        <v>17.8761073763384</v>
      </c>
      <c r="G69" s="17">
        <v>20160.435507705799</v>
      </c>
      <c r="H69" s="17">
        <v>2.7146650990770098</v>
      </c>
      <c r="I69" s="17">
        <v>21.609100000000002</v>
      </c>
      <c r="J69" s="16">
        <v>1.3267</v>
      </c>
      <c r="K69" s="17">
        <v>18.356000000000002</v>
      </c>
      <c r="L69" s="17">
        <v>123.605</v>
      </c>
      <c r="M69" s="17">
        <v>6.9710000000000001</v>
      </c>
      <c r="N69" s="16"/>
      <c r="O69" s="16"/>
      <c r="P69" s="16"/>
      <c r="Q69" s="16"/>
      <c r="R69" s="16"/>
      <c r="S69" s="16"/>
      <c r="T69" s="16"/>
    </row>
    <row r="70" spans="1:20" x14ac:dyDescent="0.3">
      <c r="A70" s="16" t="s">
        <v>99</v>
      </c>
      <c r="B70" s="16">
        <v>2011</v>
      </c>
      <c r="C70" s="16">
        <v>54.350999999999999</v>
      </c>
      <c r="D70" s="17">
        <v>70.489999999999995</v>
      </c>
      <c r="E70" s="16">
        <v>15.33</v>
      </c>
      <c r="F70" s="17">
        <v>18.715352715258302</v>
      </c>
      <c r="G70" s="17">
        <v>22049.108078868201</v>
      </c>
      <c r="H70" s="17">
        <v>1.7723808533847301</v>
      </c>
      <c r="I70" s="17">
        <v>23.906400000000001</v>
      </c>
      <c r="J70" s="16">
        <v>1.54477</v>
      </c>
      <c r="K70" s="17">
        <v>18.077000000000002</v>
      </c>
      <c r="L70" s="17">
        <v>125.46</v>
      </c>
      <c r="M70" s="17">
        <v>6.4459999999999997</v>
      </c>
      <c r="N70" s="16"/>
      <c r="O70" s="16"/>
      <c r="P70" s="16"/>
      <c r="Q70" s="16"/>
      <c r="R70" s="16"/>
      <c r="S70" s="16"/>
      <c r="T70" s="16"/>
    </row>
    <row r="71" spans="1:20" x14ac:dyDescent="0.3">
      <c r="A71" s="16" t="s">
        <v>99</v>
      </c>
      <c r="B71" s="16">
        <v>2012</v>
      </c>
      <c r="C71" s="16">
        <v>54.548000000000002</v>
      </c>
      <c r="D71" s="17">
        <v>73.430000000000007</v>
      </c>
      <c r="E71" s="16">
        <v>14.53</v>
      </c>
      <c r="F71" s="17">
        <v>18.589206344096102</v>
      </c>
      <c r="G71" s="17">
        <v>20014.035401516401</v>
      </c>
      <c r="H71" s="17">
        <v>-0.77066819062274305</v>
      </c>
      <c r="I71" s="17">
        <v>25.286899999999999</v>
      </c>
      <c r="J71" s="16">
        <v>1.7696700000000001</v>
      </c>
      <c r="K71" s="17">
        <v>19.507999999999999</v>
      </c>
      <c r="L71" s="17">
        <v>128.69</v>
      </c>
      <c r="M71" s="17">
        <v>6.585</v>
      </c>
      <c r="N71" s="16"/>
      <c r="O71" s="16"/>
      <c r="P71" s="16"/>
      <c r="Q71" s="16"/>
      <c r="R71" s="16"/>
      <c r="S71" s="16"/>
      <c r="T71" s="16"/>
    </row>
    <row r="72" spans="1:20" x14ac:dyDescent="0.3">
      <c r="A72" s="16" t="s">
        <v>99</v>
      </c>
      <c r="B72" s="16">
        <v>2013</v>
      </c>
      <c r="C72" s="16">
        <v>55.154000000000003</v>
      </c>
      <c r="D72" s="17">
        <v>74.110399999999998</v>
      </c>
      <c r="E72" s="16">
        <v>13.11</v>
      </c>
      <c r="F72" s="17">
        <v>17.334368506367898</v>
      </c>
      <c r="G72" s="17">
        <v>20260.495499937399</v>
      </c>
      <c r="H72" s="17">
        <v>-4.1812416044749001E-2</v>
      </c>
      <c r="I72" s="17">
        <v>27.172699999999999</v>
      </c>
      <c r="J72" s="16">
        <v>1.87924</v>
      </c>
      <c r="K72" s="17">
        <v>18.957999999999998</v>
      </c>
      <c r="L72" s="17">
        <v>130.52099999999999</v>
      </c>
      <c r="M72" s="17">
        <v>6.9290000000000003</v>
      </c>
      <c r="N72" s="16"/>
      <c r="O72" s="16"/>
      <c r="P72" s="16"/>
      <c r="Q72" s="16"/>
      <c r="R72" s="16"/>
      <c r="S72" s="16"/>
      <c r="T72" s="16"/>
    </row>
    <row r="73" spans="1:20" x14ac:dyDescent="0.3">
      <c r="A73" s="16" t="s">
        <v>99</v>
      </c>
      <c r="B73" s="16">
        <v>2014</v>
      </c>
      <c r="C73" s="16">
        <v>55.686999999999998</v>
      </c>
      <c r="D73" s="17">
        <v>74.231700000000004</v>
      </c>
      <c r="E73" s="16">
        <v>13.42</v>
      </c>
      <c r="F73" s="17">
        <v>17.3712318028821</v>
      </c>
      <c r="G73" s="17">
        <v>20038.4163180256</v>
      </c>
      <c r="H73" s="17">
        <v>2.2452121986263398</v>
      </c>
      <c r="I73" s="17">
        <v>28.4754</v>
      </c>
      <c r="J73" s="16">
        <v>1.9583299999999999</v>
      </c>
      <c r="K73" s="17">
        <v>15.840999999999999</v>
      </c>
      <c r="L73" s="17">
        <v>132.28899999999999</v>
      </c>
      <c r="M73" s="17">
        <v>6.0179999999999998</v>
      </c>
      <c r="N73" s="16"/>
      <c r="O73" s="16"/>
      <c r="P73" s="16"/>
      <c r="Q73" s="16"/>
      <c r="R73" s="16"/>
      <c r="S73" s="16"/>
      <c r="T73" s="16"/>
    </row>
    <row r="74" spans="1:20" x14ac:dyDescent="0.3">
      <c r="A74" s="16" t="s">
        <v>99</v>
      </c>
      <c r="B74" s="16">
        <v>2015</v>
      </c>
      <c r="C74" s="16">
        <v>56.424999999999997</v>
      </c>
      <c r="D74" s="17">
        <v>75.668800000000005</v>
      </c>
      <c r="E74" s="16">
        <v>13.54</v>
      </c>
      <c r="F74" s="17">
        <v>17.734407203851202</v>
      </c>
      <c r="G74" s="17">
        <v>17931.598767076699</v>
      </c>
      <c r="H74" s="17">
        <v>4.9587584891560397</v>
      </c>
      <c r="I74" s="17">
        <v>27.998000000000001</v>
      </c>
      <c r="J74" s="16">
        <v>1.91689</v>
      </c>
      <c r="K74" s="17">
        <v>12.582000000000001</v>
      </c>
      <c r="L74" s="17">
        <v>118.34</v>
      </c>
      <c r="M74" s="17">
        <v>4.702</v>
      </c>
      <c r="N74" s="16"/>
      <c r="O74" s="16"/>
      <c r="P74" s="16"/>
      <c r="Q74" s="16"/>
      <c r="R74" s="16"/>
      <c r="S74" s="16"/>
      <c r="T74" s="16"/>
    </row>
    <row r="75" spans="1:20" x14ac:dyDescent="0.3">
      <c r="A75" s="16" t="s">
        <v>99</v>
      </c>
      <c r="B75" s="16">
        <v>2016</v>
      </c>
      <c r="C75" s="16">
        <v>57.551000000000002</v>
      </c>
      <c r="D75" s="17">
        <v>76.481200000000001</v>
      </c>
      <c r="E75" s="16">
        <v>12.72</v>
      </c>
      <c r="F75" s="17">
        <v>16.8728021438795</v>
      </c>
      <c r="G75" s="17">
        <v>18753.9686718095</v>
      </c>
      <c r="H75" s="17">
        <v>2.5808701392137499</v>
      </c>
      <c r="I75" s="17">
        <v>29.149100000000001</v>
      </c>
      <c r="J75" s="16">
        <v>1.6700299999999999</v>
      </c>
      <c r="K75" s="17">
        <v>10.488</v>
      </c>
      <c r="L75" s="17">
        <v>118.544</v>
      </c>
      <c r="M75" s="17">
        <v>3.4980000000000002</v>
      </c>
      <c r="N75" s="16"/>
      <c r="O75" s="16"/>
      <c r="P75" s="16"/>
      <c r="Q75" s="16"/>
      <c r="R75" s="16"/>
      <c r="S75" s="16"/>
      <c r="T75" s="16"/>
    </row>
    <row r="76" spans="1:20" x14ac:dyDescent="0.3">
      <c r="A76" s="16" t="s">
        <v>99</v>
      </c>
      <c r="B76" s="16">
        <v>2017</v>
      </c>
      <c r="C76" s="16">
        <v>58.478000000000002</v>
      </c>
      <c r="D76" s="17">
        <v>78.719200000000001</v>
      </c>
      <c r="E76" s="16">
        <v>13.33</v>
      </c>
      <c r="F76" s="17">
        <v>17.8292568189487</v>
      </c>
      <c r="G76" s="17">
        <v>20913.197632211999</v>
      </c>
      <c r="H76" s="17">
        <v>5.1735652996788097</v>
      </c>
      <c r="I76" s="17">
        <v>29.845300000000002</v>
      </c>
      <c r="J76" s="16">
        <v>1.7685500000000001</v>
      </c>
      <c r="K76" s="17">
        <v>7.9359999999999999</v>
      </c>
      <c r="L76" s="17">
        <v>119.874</v>
      </c>
      <c r="M76" s="17">
        <v>2.6909999999999998</v>
      </c>
      <c r="N76" s="16"/>
      <c r="O76" s="16"/>
      <c r="P76" s="16"/>
      <c r="Q76" s="16"/>
      <c r="R76" s="16"/>
      <c r="S76" s="16"/>
      <c r="T76" s="16"/>
    </row>
    <row r="77" spans="1:20" x14ac:dyDescent="0.3">
      <c r="A77" s="16" t="s">
        <v>99</v>
      </c>
      <c r="B77" s="16">
        <v>2018</v>
      </c>
      <c r="C77" s="16">
        <v>59.203000000000003</v>
      </c>
      <c r="D77" s="17">
        <v>80.688199999999995</v>
      </c>
      <c r="E77" s="16">
        <v>15.1</v>
      </c>
      <c r="F77" s="17">
        <v>19.554997790449899</v>
      </c>
      <c r="G77" s="17">
        <v>23705.932981129801</v>
      </c>
      <c r="H77" s="17">
        <v>2.8303058826786498</v>
      </c>
      <c r="I77" s="17">
        <v>30.551300000000001</v>
      </c>
      <c r="J77" s="16">
        <v>1.89906</v>
      </c>
      <c r="K77" s="17">
        <v>6.7140000000000004</v>
      </c>
      <c r="L77" s="17">
        <v>120.432</v>
      </c>
      <c r="M77" s="17">
        <v>2.0590000000000002</v>
      </c>
      <c r="N77" s="16"/>
      <c r="O77" s="16"/>
      <c r="P77" s="16"/>
      <c r="Q77" s="16"/>
      <c r="R77" s="16"/>
      <c r="S77" s="16"/>
      <c r="T77" s="16"/>
    </row>
    <row r="78" spans="1:20" x14ac:dyDescent="0.3">
      <c r="A78" s="16" t="s">
        <v>99</v>
      </c>
      <c r="B78" s="16">
        <v>2019</v>
      </c>
      <c r="C78" s="16">
        <v>59.164000000000001</v>
      </c>
      <c r="D78" s="17">
        <v>80.866900000000001</v>
      </c>
      <c r="E78" s="16">
        <v>16.170000000000002</v>
      </c>
      <c r="F78" s="17">
        <v>20.710413023329199</v>
      </c>
      <c r="G78" s="17">
        <v>24062.719001334299</v>
      </c>
      <c r="H78" s="17">
        <v>3.5657765812825999</v>
      </c>
      <c r="I78" s="17">
        <v>35.430199999999999</v>
      </c>
      <c r="J78" s="16">
        <v>1.9273400000000001</v>
      </c>
      <c r="K78" s="17">
        <v>5.6150000000000002</v>
      </c>
      <c r="L78" s="17">
        <v>124.126</v>
      </c>
      <c r="M78" s="17">
        <v>1.7490000000000001</v>
      </c>
      <c r="N78" s="16"/>
      <c r="O78" s="16"/>
      <c r="P78" s="16"/>
      <c r="Q78" s="16"/>
      <c r="R78" s="16"/>
      <c r="S78" s="16"/>
      <c r="T78" s="16"/>
    </row>
    <row r="79" spans="1:20" x14ac:dyDescent="0.3">
      <c r="A79" s="16" t="s">
        <v>99</v>
      </c>
      <c r="B79" s="16">
        <v>2020</v>
      </c>
      <c r="C79" s="16">
        <v>58.268000000000001</v>
      </c>
      <c r="D79" s="17">
        <v>81.338899999999995</v>
      </c>
      <c r="E79" s="16">
        <v>17.96</v>
      </c>
      <c r="F79" s="17">
        <v>22.582515259649899</v>
      </c>
      <c r="G79" s="17">
        <v>23472.891545441598</v>
      </c>
      <c r="H79" s="17">
        <v>-5.3048795546387497</v>
      </c>
      <c r="I79" s="17">
        <v>36.449100000000001</v>
      </c>
      <c r="J79" s="16">
        <v>1.9859899999999999</v>
      </c>
      <c r="K79" s="17">
        <v>7.9359999999999999</v>
      </c>
      <c r="L79" s="17">
        <v>123.21899999999999</v>
      </c>
      <c r="M79" s="17">
        <v>2.3940000000000001</v>
      </c>
      <c r="N79" s="16"/>
      <c r="O79" s="16"/>
      <c r="P79" s="16"/>
      <c r="Q79" s="16"/>
      <c r="R79" s="16"/>
      <c r="S79" s="16"/>
      <c r="T79" s="16"/>
    </row>
    <row r="80" spans="1:20" x14ac:dyDescent="0.3">
      <c r="A80" s="16" t="s">
        <v>99</v>
      </c>
      <c r="B80" s="16">
        <v>2021</v>
      </c>
      <c r="C80" s="16">
        <v>58.152999999999999</v>
      </c>
      <c r="D80" s="17">
        <v>82.670599999999993</v>
      </c>
      <c r="E80" s="16">
        <v>15.55</v>
      </c>
      <c r="F80" s="17">
        <v>20.356090926255199</v>
      </c>
      <c r="G80" s="17">
        <v>27696.461952754398</v>
      </c>
      <c r="H80" s="17">
        <v>4.0290183205514802</v>
      </c>
      <c r="I80" s="17">
        <v>37.4985</v>
      </c>
      <c r="J80" s="16">
        <v>1.9960100000000001</v>
      </c>
      <c r="K80" s="17">
        <v>8.1340000000000003</v>
      </c>
      <c r="L80" s="17">
        <v>126.173</v>
      </c>
      <c r="M80" s="17">
        <v>2.6859999999999999</v>
      </c>
      <c r="N80" s="16"/>
      <c r="O80" s="16"/>
      <c r="P80" s="16"/>
      <c r="Q80" s="16"/>
      <c r="R80" s="16"/>
      <c r="S80" s="16"/>
      <c r="T80" s="16"/>
    </row>
    <row r="81" spans="1:20" x14ac:dyDescent="0.3">
      <c r="A81" s="16" t="s">
        <v>99</v>
      </c>
      <c r="B81" s="16">
        <v>2022</v>
      </c>
      <c r="C81" s="16">
        <v>58.529000000000003</v>
      </c>
      <c r="D81" s="17">
        <v>84.540099999999995</v>
      </c>
      <c r="E81" s="16">
        <v>16.100000000000001</v>
      </c>
      <c r="F81" s="17">
        <v>21.835361895952499</v>
      </c>
      <c r="G81" s="17">
        <v>28282.223671585602</v>
      </c>
      <c r="H81" s="17">
        <v>2.8471706583813998</v>
      </c>
      <c r="I81" s="17">
        <v>37.713700000000003</v>
      </c>
      <c r="J81" s="16">
        <v>1.9641999999999999</v>
      </c>
      <c r="K81" s="17">
        <v>6.72</v>
      </c>
      <c r="L81" s="17">
        <v>128.10499999999999</v>
      </c>
      <c r="M81" s="17">
        <v>2.0379999999999998</v>
      </c>
      <c r="N81" s="16"/>
      <c r="O81" s="16"/>
      <c r="P81" s="16"/>
      <c r="Q81" s="16"/>
      <c r="R81" s="16"/>
      <c r="S81" s="16"/>
      <c r="T81" s="16"/>
    </row>
    <row r="82" spans="1:20" x14ac:dyDescent="0.3">
      <c r="A82" s="10" t="s">
        <v>98</v>
      </c>
      <c r="B82" s="10">
        <v>2007</v>
      </c>
      <c r="C82" s="10">
        <f t="array" ref="C82:C97">TRANSPOSE(EMPLOYrate!D17:S17)</f>
        <v>63.215000000000003</v>
      </c>
      <c r="D82" s="11">
        <v>85.03</v>
      </c>
      <c r="E82" s="10">
        <f t="array" ref="E82:E97">TRANSPOSE(ictgoods!D26:S26)</f>
        <v>4.6500000000000004</v>
      </c>
      <c r="F82" s="11" cm="1">
        <f t="array" ref="F82:F97">TRANSPOSE(hightechmanu!C8:R8)</f>
        <v>18.257362487899101</v>
      </c>
      <c r="G82" s="11" cm="1">
        <f t="array" ref="G82:G97">TRANSPOSE(gdppercapita!D7:S7)</f>
        <v>58631.656643363502</v>
      </c>
      <c r="H82" s="11" cm="1">
        <f t="array" ref="H82:H97">TRANSPOSE(gdpannual!D18:S18)</f>
        <v>0.98717381594512599</v>
      </c>
      <c r="I82" s="11" cm="1">
        <f t="array" ref="I82:I97">TRANSPOSE(fixedbroadband!D17:S17)</f>
        <v>34.853099999999998</v>
      </c>
      <c r="J82" s="10" cm="1">
        <f t="array" ref="J82:J97">TRANSPOSE(rdexpediture!D20:S20)</f>
        <v>2.5154100000000001</v>
      </c>
      <c r="K82" s="11" cm="1">
        <f t="array" ref="K82:K97">TRANSPOSE(YOUTH_EMPLOY!D8:S8)</f>
        <v>7.4950000000000001</v>
      </c>
      <c r="L82" s="11">
        <f t="array" ref="L82:L97">TRANSPOSE(mobile_celular!D8:S8)</f>
        <v>115.497</v>
      </c>
      <c r="M82" s="11">
        <f t="array" ref="M82:M97">TRANSPOSE(unemployEAD!C8:R8)</f>
        <v>2.996</v>
      </c>
      <c r="N82" s="10"/>
      <c r="O82" s="10"/>
      <c r="P82" s="10"/>
      <c r="Q82" s="10"/>
      <c r="R82" s="10"/>
      <c r="S82" s="10"/>
      <c r="T82" s="10"/>
    </row>
    <row r="83" spans="1:20" x14ac:dyDescent="0.3">
      <c r="A83" s="10" t="s">
        <v>98</v>
      </c>
      <c r="B83" s="10">
        <v>2008</v>
      </c>
      <c r="C83" s="10">
        <v>62.688000000000002</v>
      </c>
      <c r="D83" s="11">
        <v>85.02</v>
      </c>
      <c r="E83" s="10">
        <v>3.37</v>
      </c>
      <c r="F83" s="11">
        <v>16.857034111274501</v>
      </c>
      <c r="G83" s="11">
        <v>64616.665758366202</v>
      </c>
      <c r="H83" s="11">
        <v>-0.41717843999100501</v>
      </c>
      <c r="I83" s="11">
        <v>36.508299999999998</v>
      </c>
      <c r="J83" s="10">
        <v>2.77346</v>
      </c>
      <c r="K83" s="11">
        <v>9.4710000000000001</v>
      </c>
      <c r="L83" s="11">
        <v>119.35299999999999</v>
      </c>
      <c r="M83" s="11">
        <v>2.96</v>
      </c>
      <c r="N83" s="10"/>
      <c r="O83" s="10"/>
      <c r="P83" s="10"/>
      <c r="Q83" s="10"/>
      <c r="R83" s="10"/>
      <c r="S83" s="10"/>
      <c r="T83" s="10"/>
    </row>
    <row r="84" spans="1:20" x14ac:dyDescent="0.3">
      <c r="A84" s="10" t="s">
        <v>98</v>
      </c>
      <c r="B84" s="10">
        <v>2009</v>
      </c>
      <c r="C84" s="10">
        <v>60.267000000000003</v>
      </c>
      <c r="D84" s="11">
        <v>86.84</v>
      </c>
      <c r="E84" s="10">
        <v>3.39</v>
      </c>
      <c r="F84" s="11">
        <v>18.9310512130895</v>
      </c>
      <c r="G84" s="11">
        <v>58412.747235851297</v>
      </c>
      <c r="H84" s="11">
        <v>-4.9744790566905799</v>
      </c>
      <c r="I84" s="11">
        <v>36.622199999999999</v>
      </c>
      <c r="J84" s="10">
        <v>3.0551400000000002</v>
      </c>
      <c r="K84" s="11">
        <v>13.441000000000001</v>
      </c>
      <c r="L84" s="11">
        <v>123.727</v>
      </c>
      <c r="M84" s="11">
        <v>5.91</v>
      </c>
      <c r="N84" s="10"/>
      <c r="O84" s="10"/>
      <c r="P84" s="10"/>
      <c r="Q84" s="10"/>
      <c r="R84" s="10"/>
      <c r="S84" s="10"/>
      <c r="T84" s="10"/>
    </row>
    <row r="85" spans="1:20" x14ac:dyDescent="0.3">
      <c r="A85" s="10" t="s">
        <v>98</v>
      </c>
      <c r="B85" s="10">
        <v>2010</v>
      </c>
      <c r="C85" s="10">
        <v>58.578000000000003</v>
      </c>
      <c r="D85" s="11">
        <v>88.72</v>
      </c>
      <c r="E85" s="10">
        <v>3.65</v>
      </c>
      <c r="F85" s="11">
        <v>15.4688409278646</v>
      </c>
      <c r="G85" s="11">
        <v>58104.544559498099</v>
      </c>
      <c r="H85" s="11">
        <v>1.5828970310880199</v>
      </c>
      <c r="I85" s="11">
        <v>38.076000000000001</v>
      </c>
      <c r="J85" s="10">
        <v>2.9170699999999998</v>
      </c>
      <c r="K85" s="11">
        <v>15.554</v>
      </c>
      <c r="L85" s="11">
        <v>115.73399999999999</v>
      </c>
      <c r="M85" s="11">
        <v>7.0730000000000004</v>
      </c>
      <c r="N85" s="10"/>
      <c r="O85" s="10"/>
      <c r="P85" s="10"/>
      <c r="Q85" s="10"/>
      <c r="R85" s="10"/>
      <c r="S85" s="10"/>
      <c r="T85" s="10"/>
    </row>
    <row r="86" spans="1:20" x14ac:dyDescent="0.3">
      <c r="A86" s="10" t="s">
        <v>98</v>
      </c>
      <c r="B86" s="10">
        <v>2011</v>
      </c>
      <c r="C86" s="10">
        <v>58.15</v>
      </c>
      <c r="D86" s="11">
        <v>89.81</v>
      </c>
      <c r="E86" s="10">
        <v>3.4</v>
      </c>
      <c r="F86" s="11">
        <v>15.274565203174401</v>
      </c>
      <c r="G86" s="11">
        <v>61809.737898222003</v>
      </c>
      <c r="H86" s="11">
        <v>1.31080376096059</v>
      </c>
      <c r="I86" s="11">
        <v>38.472499999999997</v>
      </c>
      <c r="J86" s="10">
        <v>2.9446500000000002</v>
      </c>
      <c r="K86" s="11">
        <v>16.306000000000001</v>
      </c>
      <c r="L86" s="11">
        <v>128.76300000000001</v>
      </c>
      <c r="M86" s="11">
        <v>6.7859999999999996</v>
      </c>
      <c r="N86" s="10"/>
      <c r="O86" s="10"/>
      <c r="P86" s="10"/>
      <c r="Q86" s="10"/>
      <c r="R86" s="10"/>
      <c r="S86" s="10"/>
      <c r="T86" s="10"/>
    </row>
    <row r="87" spans="1:20" x14ac:dyDescent="0.3">
      <c r="A87" s="10" t="s">
        <v>98</v>
      </c>
      <c r="B87" s="10">
        <v>2012</v>
      </c>
      <c r="C87" s="10">
        <v>57.453000000000003</v>
      </c>
      <c r="D87" s="11">
        <v>92.26</v>
      </c>
      <c r="E87" s="10">
        <v>3.28</v>
      </c>
      <c r="F87" s="11">
        <v>15.826335095060999</v>
      </c>
      <c r="G87" s="11">
        <v>58443.774710396698</v>
      </c>
      <c r="H87" s="11">
        <v>-5.4323016167074903E-3</v>
      </c>
      <c r="I87" s="11">
        <v>38.976700000000001</v>
      </c>
      <c r="J87" s="10">
        <v>2.9812500000000002</v>
      </c>
      <c r="K87" s="11">
        <v>15.775</v>
      </c>
      <c r="L87" s="11">
        <v>130.416</v>
      </c>
      <c r="M87" s="11">
        <v>6.9050000000000002</v>
      </c>
      <c r="N87" s="10"/>
      <c r="O87" s="10"/>
      <c r="P87" s="10"/>
      <c r="Q87" s="10"/>
      <c r="R87" s="10"/>
      <c r="S87" s="10"/>
      <c r="T87" s="10"/>
    </row>
    <row r="88" spans="1:20" x14ac:dyDescent="0.3">
      <c r="A88" s="10" t="s">
        <v>98</v>
      </c>
      <c r="B88" s="10">
        <v>2013</v>
      </c>
      <c r="C88" s="10">
        <v>56.884</v>
      </c>
      <c r="D88" s="11">
        <v>94.6297</v>
      </c>
      <c r="E88" s="10">
        <v>3.23</v>
      </c>
      <c r="F88" s="11">
        <v>15.8225911560629</v>
      </c>
      <c r="G88" s="11">
        <v>61377.594059041097</v>
      </c>
      <c r="H88" s="11">
        <v>1.39267343161971</v>
      </c>
      <c r="I88" s="11">
        <v>40.467799999999997</v>
      </c>
      <c r="J88" s="10">
        <v>2.9704799999999998</v>
      </c>
      <c r="K88" s="11">
        <v>14.773999999999999</v>
      </c>
      <c r="L88" s="11">
        <v>125.21299999999999</v>
      </c>
      <c r="M88" s="11">
        <v>6.5510000000000002</v>
      </c>
      <c r="N88" s="10"/>
      <c r="O88" s="10"/>
      <c r="P88" s="10"/>
      <c r="Q88" s="10"/>
      <c r="R88" s="10"/>
      <c r="S88" s="10"/>
      <c r="T88" s="10"/>
    </row>
    <row r="89" spans="1:20" x14ac:dyDescent="0.3">
      <c r="A89" s="10" t="s">
        <v>98</v>
      </c>
      <c r="B89" s="10">
        <v>2014</v>
      </c>
      <c r="C89" s="10">
        <v>57.015999999999998</v>
      </c>
      <c r="D89" s="11">
        <v>95.993499999999997</v>
      </c>
      <c r="E89" s="10">
        <v>3.59</v>
      </c>
      <c r="F89" s="11">
        <v>15.7179605296799</v>
      </c>
      <c r="G89" s="11">
        <v>62520.450974701103</v>
      </c>
      <c r="H89" s="11">
        <v>1.2779998319283099</v>
      </c>
      <c r="I89" s="11">
        <v>41.492600000000003</v>
      </c>
      <c r="J89" s="10">
        <v>2.9140899999999998</v>
      </c>
      <c r="K89" s="11">
        <v>14.196</v>
      </c>
      <c r="L89" s="11">
        <v>126.869</v>
      </c>
      <c r="M89" s="11">
        <v>6.1340000000000003</v>
      </c>
      <c r="N89" s="10"/>
      <c r="O89" s="10"/>
      <c r="P89" s="10"/>
      <c r="Q89" s="10"/>
      <c r="R89" s="10"/>
      <c r="S89" s="10"/>
      <c r="T89" s="10"/>
    </row>
    <row r="90" spans="1:20" x14ac:dyDescent="0.3">
      <c r="A90" s="10" t="s">
        <v>98</v>
      </c>
      <c r="B90" s="10">
        <v>2015</v>
      </c>
      <c r="C90" s="10">
        <v>57.466999999999999</v>
      </c>
      <c r="D90" s="11">
        <v>96.330500000000001</v>
      </c>
      <c r="E90" s="10">
        <v>3.66</v>
      </c>
      <c r="F90" s="11">
        <v>17.165500197031299</v>
      </c>
      <c r="G90" s="11">
        <v>53094.013360757301</v>
      </c>
      <c r="H90" s="11">
        <v>2.1044145644530001</v>
      </c>
      <c r="I90" s="11">
        <v>42.313299999999998</v>
      </c>
      <c r="J90" s="10">
        <v>3.05497</v>
      </c>
      <c r="K90" s="11">
        <v>12.151999999999999</v>
      </c>
      <c r="L90" s="11">
        <v>124.554</v>
      </c>
      <c r="M90" s="11">
        <v>5.38</v>
      </c>
      <c r="N90" s="10"/>
      <c r="O90" s="10"/>
      <c r="P90" s="10"/>
      <c r="Q90" s="10"/>
      <c r="R90" s="10"/>
      <c r="S90" s="10"/>
      <c r="T90" s="10"/>
    </row>
    <row r="91" spans="1:20" x14ac:dyDescent="0.3">
      <c r="A91" s="10" t="s">
        <v>98</v>
      </c>
      <c r="B91" s="10">
        <v>2016</v>
      </c>
      <c r="C91" s="10">
        <v>57.959000000000003</v>
      </c>
      <c r="D91" s="11">
        <v>96.967799999999997</v>
      </c>
      <c r="E91" s="10">
        <v>3.67</v>
      </c>
      <c r="F91" s="11">
        <v>14.883324235484199</v>
      </c>
      <c r="G91" s="11">
        <v>54500.926041021703</v>
      </c>
      <c r="H91" s="11">
        <v>3.07304549209092</v>
      </c>
      <c r="I91" s="11">
        <v>42.969900000000003</v>
      </c>
      <c r="J91" s="10">
        <v>3.0928300000000002</v>
      </c>
      <c r="K91" s="11">
        <v>12.147</v>
      </c>
      <c r="L91" s="11">
        <v>121.941</v>
      </c>
      <c r="M91" s="11">
        <v>5.1340000000000003</v>
      </c>
      <c r="N91" s="10"/>
      <c r="O91" s="10"/>
      <c r="P91" s="10"/>
      <c r="Q91" s="10"/>
      <c r="R91" s="10"/>
      <c r="S91" s="10"/>
      <c r="T91" s="10"/>
    </row>
    <row r="92" spans="1:20" x14ac:dyDescent="0.3">
      <c r="A92" s="10" t="s">
        <v>98</v>
      </c>
      <c r="B92" s="10">
        <v>2017</v>
      </c>
      <c r="C92" s="10">
        <v>58.116</v>
      </c>
      <c r="D92" s="11">
        <v>97.099400000000003</v>
      </c>
      <c r="E92" s="10">
        <v>3.88</v>
      </c>
      <c r="F92" s="11">
        <v>12.455720930984</v>
      </c>
      <c r="G92" s="11">
        <v>57521.5514992225</v>
      </c>
      <c r="H92" s="11">
        <v>3.0564772392271702</v>
      </c>
      <c r="I92" s="11">
        <v>43.569800000000001</v>
      </c>
      <c r="J92" s="10">
        <v>2.9312399999999998</v>
      </c>
      <c r="K92" s="11">
        <v>12.384</v>
      </c>
      <c r="L92" s="11">
        <v>123.86199999999999</v>
      </c>
      <c r="M92" s="11">
        <v>4.681</v>
      </c>
      <c r="N92" s="10"/>
      <c r="O92" s="10"/>
      <c r="P92" s="10"/>
      <c r="Q92" s="10"/>
      <c r="R92" s="10"/>
      <c r="S92" s="10"/>
      <c r="T92" s="10"/>
    </row>
    <row r="93" spans="1:20" x14ac:dyDescent="0.3">
      <c r="A93" s="10" t="s">
        <v>98</v>
      </c>
      <c r="B93" s="10">
        <v>2018</v>
      </c>
      <c r="C93" s="10">
        <v>58.643999999999998</v>
      </c>
      <c r="D93" s="11">
        <v>97.319199999999995</v>
      </c>
      <c r="E93" s="10">
        <v>3.72</v>
      </c>
      <c r="F93" s="11">
        <v>12.3547301877073</v>
      </c>
      <c r="G93" s="11">
        <v>61324.766504556501</v>
      </c>
      <c r="H93" s="11">
        <v>1.8600074900921</v>
      </c>
      <c r="I93" s="11">
        <v>43.769100000000002</v>
      </c>
      <c r="J93" s="10">
        <v>2.9660299999999999</v>
      </c>
      <c r="K93" s="11">
        <v>10.52</v>
      </c>
      <c r="L93" s="11">
        <v>124.55</v>
      </c>
      <c r="M93" s="11">
        <v>4.08</v>
      </c>
      <c r="N93" s="10"/>
      <c r="O93" s="10"/>
      <c r="P93" s="10"/>
      <c r="Q93" s="10"/>
      <c r="R93" s="10"/>
      <c r="S93" s="10"/>
      <c r="T93" s="10"/>
    </row>
    <row r="94" spans="1:20" x14ac:dyDescent="0.3">
      <c r="A94" s="10" t="s">
        <v>98</v>
      </c>
      <c r="B94" s="10">
        <v>2019</v>
      </c>
      <c r="C94" s="10">
        <v>59.244999999999997</v>
      </c>
      <c r="D94" s="11">
        <v>98.046400000000006</v>
      </c>
      <c r="E94" s="10">
        <v>3.66</v>
      </c>
      <c r="F94" s="11">
        <v>12.039996737933899</v>
      </c>
      <c r="G94" s="11">
        <v>59404.266324772201</v>
      </c>
      <c r="H94" s="11">
        <v>1.7114009393273599</v>
      </c>
      <c r="I94" s="11">
        <v>43.622999999999998</v>
      </c>
      <c r="J94" s="10">
        <v>2.8968500000000001</v>
      </c>
      <c r="K94" s="11">
        <v>10.041</v>
      </c>
      <c r="L94" s="11">
        <v>124.57299999999999</v>
      </c>
      <c r="M94" s="11">
        <v>4.1189999999999998</v>
      </c>
      <c r="N94" s="10"/>
      <c r="O94" s="10"/>
      <c r="P94" s="10"/>
      <c r="Q94" s="10"/>
      <c r="R94" s="10"/>
      <c r="S94" s="10"/>
      <c r="T94" s="10"/>
    </row>
    <row r="95" spans="1:20" x14ac:dyDescent="0.3">
      <c r="A95" s="10" t="s">
        <v>98</v>
      </c>
      <c r="B95" s="10">
        <v>2020</v>
      </c>
      <c r="C95" s="10">
        <v>58.536000000000001</v>
      </c>
      <c r="D95" s="11">
        <v>96.549099999999996</v>
      </c>
      <c r="E95" s="10">
        <v>3.95</v>
      </c>
      <c r="F95" s="11">
        <v>13.2343925466706</v>
      </c>
      <c r="G95" s="11">
        <v>60985.488560151301</v>
      </c>
      <c r="H95" s="11">
        <v>-1.7801060183129001</v>
      </c>
      <c r="I95" s="11">
        <v>44.418599999999998</v>
      </c>
      <c r="J95" s="10">
        <v>2.9725799999999998</v>
      </c>
      <c r="K95" s="11">
        <v>11.587999999999999</v>
      </c>
      <c r="L95" s="11">
        <v>124.37</v>
      </c>
      <c r="M95" s="11">
        <v>4.7750000000000004</v>
      </c>
      <c r="N95" s="10"/>
      <c r="O95" s="10"/>
      <c r="P95" s="10"/>
      <c r="Q95" s="10"/>
      <c r="R95" s="10"/>
      <c r="S95" s="10"/>
      <c r="T95" s="10"/>
    </row>
    <row r="96" spans="1:20" x14ac:dyDescent="0.3">
      <c r="A96" s="10" t="s">
        <v>98</v>
      </c>
      <c r="B96" s="10">
        <v>2021</v>
      </c>
      <c r="C96" s="10">
        <v>59.366</v>
      </c>
      <c r="D96" s="11">
        <v>98.865899999999996</v>
      </c>
      <c r="E96" s="10">
        <v>3.94</v>
      </c>
      <c r="F96" s="11">
        <v>13.924746774000299</v>
      </c>
      <c r="G96" s="11">
        <v>69340.733492213796</v>
      </c>
      <c r="H96" s="11">
        <v>6.5002544575629404</v>
      </c>
      <c r="I96" s="11">
        <v>44.959800000000001</v>
      </c>
      <c r="J96" s="10">
        <v>2.7614200000000002</v>
      </c>
      <c r="K96" s="11">
        <v>10.808</v>
      </c>
      <c r="L96" s="11">
        <v>125.604</v>
      </c>
      <c r="M96" s="11">
        <v>4.46</v>
      </c>
      <c r="N96" s="10"/>
      <c r="O96" s="10"/>
      <c r="P96" s="10"/>
      <c r="Q96" s="10"/>
      <c r="R96" s="10"/>
      <c r="S96" s="10"/>
      <c r="T96" s="10"/>
    </row>
    <row r="97" spans="1:20" x14ac:dyDescent="0.3">
      <c r="A97" s="10" t="s">
        <v>98</v>
      </c>
      <c r="B97" s="10">
        <v>2022</v>
      </c>
      <c r="C97" s="10">
        <v>60.561</v>
      </c>
      <c r="D97" s="11">
        <v>97.860100000000003</v>
      </c>
      <c r="E97" s="10">
        <v>3.71</v>
      </c>
      <c r="F97" s="11">
        <v>17.119129681054101</v>
      </c>
      <c r="G97" s="11">
        <v>67781.094093951397</v>
      </c>
      <c r="H97" s="11">
        <v>0.44383261490832998</v>
      </c>
      <c r="I97" s="11">
        <v>44.886400000000002</v>
      </c>
      <c r="J97" s="10">
        <v>2.8905099999999999</v>
      </c>
      <c r="K97" s="11">
        <v>10.532999999999999</v>
      </c>
      <c r="L97" s="11">
        <v>126.48399999999999</v>
      </c>
      <c r="M97" s="11">
        <v>3.7389999999999999</v>
      </c>
      <c r="N97" s="10"/>
      <c r="O97" s="10"/>
      <c r="P97" s="10"/>
      <c r="Q97" s="10"/>
      <c r="R97" s="10"/>
      <c r="S97" s="10"/>
      <c r="T97" s="10"/>
    </row>
    <row r="98" spans="1:20" x14ac:dyDescent="0.3">
      <c r="A98" s="20" t="s">
        <v>97</v>
      </c>
      <c r="B98" s="20">
        <v>2007</v>
      </c>
      <c r="C98" s="20">
        <f t="array" ref="C98:C113">TRANSPOSE(EMPLOYrate!D5:S5)</f>
        <v>57.773000000000003</v>
      </c>
      <c r="D98" s="21">
        <v>66.19</v>
      </c>
      <c r="E98" s="20">
        <f t="array" ref="E98:E113">TRANSPOSE(ictgoods!D24:S24)</f>
        <v>6.21</v>
      </c>
      <c r="F98" s="21" cm="1">
        <f t="array" ref="F98:F113">TRANSPOSE(hightechmanu!C10:R10)</f>
        <v>12.125723143011299</v>
      </c>
      <c r="G98" s="21" cm="1">
        <f t="array" ref="G98:G113">TRANSPOSE(gdppercapita!D8:S8)</f>
        <v>16745.4308011147</v>
      </c>
      <c r="H98" s="21" cm="1">
        <f t="array" ref="H98:H113">TRANSPOSE(gdpannual!D13:S13)</f>
        <v>7.5709187931188202</v>
      </c>
      <c r="I98" s="21" cm="1">
        <f t="array" ref="I98:I113">TRANSPOSE(fixedbroadband!D22:S22)</f>
        <v>19.761900000000001</v>
      </c>
      <c r="J98" s="20" cm="1">
        <f t="array" ref="J98:J113">TRANSPOSE(rdexpediture!D25:S25)</f>
        <v>1.05874</v>
      </c>
      <c r="K98" s="21" cm="1">
        <f t="array" ref="K98:K113">TRANSPOSE(YOUTH_EMPLOY!D10:S10)</f>
        <v>10.097</v>
      </c>
      <c r="L98" s="21">
        <f t="array" ref="L98:L113">TRANSPOSE(mobile_celular!D14:S14)</f>
        <v>125.44499999999999</v>
      </c>
      <c r="M98" s="21">
        <f t="array" ref="M98:M113">TRANSPOSE(unemployEAD!C10:R10)</f>
        <v>10.93</v>
      </c>
      <c r="N98" s="20"/>
      <c r="O98" s="20"/>
      <c r="P98" s="20"/>
      <c r="Q98" s="20"/>
      <c r="R98" s="20"/>
      <c r="S98" s="20"/>
      <c r="T98" s="20"/>
    </row>
    <row r="99" spans="1:20" x14ac:dyDescent="0.3">
      <c r="A99" s="20" t="s">
        <v>97</v>
      </c>
      <c r="B99" s="20">
        <v>2008</v>
      </c>
      <c r="C99" s="20">
        <v>57.773000000000003</v>
      </c>
      <c r="D99" s="21">
        <v>70.58</v>
      </c>
      <c r="E99" s="20">
        <v>5.39</v>
      </c>
      <c r="F99" s="21">
        <v>11.438007989567099</v>
      </c>
      <c r="G99" s="21">
        <v>18205.906411344498</v>
      </c>
      <c r="H99" s="21">
        <v>-5.1253115430880296</v>
      </c>
      <c r="I99" s="21">
        <v>22.037700000000001</v>
      </c>
      <c r="J99" s="20">
        <v>1.2518800000000001</v>
      </c>
      <c r="K99" s="21">
        <v>12.032</v>
      </c>
      <c r="L99" s="21">
        <v>121.494</v>
      </c>
      <c r="M99" s="21">
        <v>11.964</v>
      </c>
      <c r="N99" s="20"/>
      <c r="O99" s="20"/>
      <c r="P99" s="20"/>
      <c r="Q99" s="20"/>
      <c r="R99" s="20"/>
      <c r="S99" s="20"/>
      <c r="T99" s="20"/>
    </row>
    <row r="100" spans="1:20" x14ac:dyDescent="0.3">
      <c r="A100" s="20" t="s">
        <v>97</v>
      </c>
      <c r="B100" s="20">
        <v>2009</v>
      </c>
      <c r="C100" s="20">
        <v>52.493000000000002</v>
      </c>
      <c r="D100" s="21">
        <v>72.5</v>
      </c>
      <c r="E100" s="20">
        <v>4.7</v>
      </c>
      <c r="F100" s="21">
        <v>11.385936848644301</v>
      </c>
      <c r="G100" s="21">
        <v>14712.4494217916</v>
      </c>
      <c r="H100" s="21">
        <v>-14.6302225427906</v>
      </c>
      <c r="I100" s="21">
        <v>23.500800000000002</v>
      </c>
      <c r="J100" s="20">
        <v>1.39679</v>
      </c>
      <c r="K100" s="21">
        <v>27.41</v>
      </c>
      <c r="L100" s="21">
        <v>117.685</v>
      </c>
      <c r="M100" s="21">
        <v>27.774999999999999</v>
      </c>
      <c r="N100" s="20"/>
      <c r="O100" s="20"/>
      <c r="P100" s="20"/>
      <c r="Q100" s="20"/>
      <c r="R100" s="20"/>
      <c r="S100" s="20"/>
      <c r="T100" s="20"/>
    </row>
    <row r="101" spans="1:20" x14ac:dyDescent="0.3">
      <c r="A101" s="20" t="s">
        <v>97</v>
      </c>
      <c r="B101" s="20">
        <v>2010</v>
      </c>
      <c r="C101" s="20">
        <v>50.392000000000003</v>
      </c>
      <c r="D101" s="21">
        <v>74.099999999999994</v>
      </c>
      <c r="E101" s="20">
        <v>7.95</v>
      </c>
      <c r="F101" s="21">
        <v>15.7346506591756</v>
      </c>
      <c r="G101" s="21">
        <v>14663.7041018704</v>
      </c>
      <c r="H101" s="21">
        <v>2.4497502063998899</v>
      </c>
      <c r="I101" s="21">
        <v>26.1282</v>
      </c>
      <c r="J101" s="20">
        <v>1.5789899999999999</v>
      </c>
      <c r="K101" s="21">
        <v>32.938000000000002</v>
      </c>
      <c r="L101" s="21">
        <v>124.136</v>
      </c>
      <c r="M101" s="21">
        <v>30.004999999999999</v>
      </c>
      <c r="N101" s="20"/>
      <c r="O101" s="20"/>
      <c r="P101" s="20"/>
      <c r="Q101" s="20"/>
      <c r="R101" s="20"/>
      <c r="S101" s="20"/>
      <c r="T101" s="20"/>
    </row>
    <row r="102" spans="1:20" x14ac:dyDescent="0.3">
      <c r="A102" s="20" t="s">
        <v>97</v>
      </c>
      <c r="B102" s="20">
        <v>2011</v>
      </c>
      <c r="C102" s="20">
        <v>53.747</v>
      </c>
      <c r="D102" s="21">
        <v>76.5</v>
      </c>
      <c r="E102" s="20">
        <v>11.47</v>
      </c>
      <c r="F102" s="21">
        <v>22.226827571538202</v>
      </c>
      <c r="G102" s="21">
        <v>17555.545523942601</v>
      </c>
      <c r="H102" s="21">
        <v>7.6069745891316201</v>
      </c>
      <c r="I102" s="21">
        <v>26.288799999999998</v>
      </c>
      <c r="J102" s="20">
        <v>2.3052199999999998</v>
      </c>
      <c r="K102" s="21">
        <v>22.385999999999999</v>
      </c>
      <c r="L102" s="21">
        <v>136.065</v>
      </c>
      <c r="M102" s="21">
        <v>25.486000000000001</v>
      </c>
      <c r="N102" s="20"/>
      <c r="O102" s="20"/>
      <c r="P102" s="20"/>
      <c r="Q102" s="20"/>
      <c r="R102" s="20"/>
      <c r="S102" s="20"/>
      <c r="T102" s="20"/>
    </row>
    <row r="103" spans="1:20" x14ac:dyDescent="0.3">
      <c r="A103" s="20" t="s">
        <v>97</v>
      </c>
      <c r="B103" s="20">
        <v>2012</v>
      </c>
      <c r="C103" s="20">
        <v>55.167000000000002</v>
      </c>
      <c r="D103" s="21">
        <v>78.389899999999997</v>
      </c>
      <c r="E103" s="20">
        <v>10.9</v>
      </c>
      <c r="F103" s="21">
        <v>20.5676117029777</v>
      </c>
      <c r="G103" s="21">
        <v>17568.2137969713</v>
      </c>
      <c r="H103" s="21">
        <v>3.6720187250654099</v>
      </c>
      <c r="I103" s="21">
        <v>26.4254</v>
      </c>
      <c r="J103" s="20">
        <v>2.1248100000000001</v>
      </c>
      <c r="K103" s="21">
        <v>20.861999999999998</v>
      </c>
      <c r="L103" s="21">
        <v>151.197</v>
      </c>
      <c r="M103" s="21">
        <v>22.863</v>
      </c>
      <c r="N103" s="20"/>
      <c r="O103" s="20"/>
      <c r="P103" s="20"/>
      <c r="Q103" s="20"/>
      <c r="R103" s="20"/>
      <c r="S103" s="20"/>
      <c r="T103" s="20"/>
    </row>
    <row r="104" spans="1:20" x14ac:dyDescent="0.3">
      <c r="A104" s="20" t="s">
        <v>97</v>
      </c>
      <c r="B104" s="20">
        <v>2013</v>
      </c>
      <c r="C104" s="20">
        <v>56.033000000000001</v>
      </c>
      <c r="D104" s="21">
        <v>80.004300000000001</v>
      </c>
      <c r="E104" s="20">
        <v>11.61</v>
      </c>
      <c r="F104" s="21">
        <v>20.676114816619499</v>
      </c>
      <c r="G104" s="21">
        <v>19310.3874900757</v>
      </c>
      <c r="H104" s="21">
        <v>1.75649379621869</v>
      </c>
      <c r="I104" s="21">
        <v>27.387699999999999</v>
      </c>
      <c r="J104" s="20">
        <v>1.7241200000000001</v>
      </c>
      <c r="K104" s="21">
        <v>18.704000000000001</v>
      </c>
      <c r="L104" s="21">
        <v>146.24700000000001</v>
      </c>
      <c r="M104" s="21">
        <v>14.571999999999999</v>
      </c>
      <c r="N104" s="20"/>
      <c r="O104" s="20"/>
      <c r="P104" s="20"/>
      <c r="Q104" s="20"/>
      <c r="R104" s="20"/>
      <c r="S104" s="20"/>
      <c r="T104" s="20"/>
    </row>
    <row r="105" spans="1:20" x14ac:dyDescent="0.3">
      <c r="A105" s="20" t="s">
        <v>97</v>
      </c>
      <c r="B105" s="20">
        <v>2014</v>
      </c>
      <c r="C105" s="20">
        <v>56.627000000000002</v>
      </c>
      <c r="D105" s="21">
        <v>84.241500000000002</v>
      </c>
      <c r="E105" s="20">
        <v>12.8</v>
      </c>
      <c r="F105" s="21">
        <v>23.652438820507001</v>
      </c>
      <c r="G105" s="21">
        <v>20581.7898991695</v>
      </c>
      <c r="H105" s="21">
        <v>3.3227898818270201</v>
      </c>
      <c r="I105" s="21">
        <v>28.2254</v>
      </c>
      <c r="J105" s="20">
        <v>1.4302299999999999</v>
      </c>
      <c r="K105" s="21">
        <v>14.975</v>
      </c>
      <c r="L105" s="21">
        <v>144.36099999999999</v>
      </c>
      <c r="M105" s="21">
        <v>12.79</v>
      </c>
      <c r="N105" s="20"/>
      <c r="O105" s="20"/>
      <c r="P105" s="20"/>
      <c r="Q105" s="20"/>
      <c r="R105" s="20"/>
      <c r="S105" s="20"/>
      <c r="T105" s="20"/>
    </row>
    <row r="106" spans="1:20" x14ac:dyDescent="0.3">
      <c r="A106" s="20" t="s">
        <v>97</v>
      </c>
      <c r="B106" s="20">
        <v>2015</v>
      </c>
      <c r="C106" s="20">
        <v>58.139000000000003</v>
      </c>
      <c r="D106" s="21">
        <v>88.409700000000001</v>
      </c>
      <c r="E106" s="20">
        <v>11.91</v>
      </c>
      <c r="F106" s="21">
        <v>22.714467629433202</v>
      </c>
      <c r="G106" s="21">
        <v>17722.155766952299</v>
      </c>
      <c r="H106" s="21">
        <v>1.83815262882932</v>
      </c>
      <c r="I106" s="21">
        <v>29.688300000000002</v>
      </c>
      <c r="J106" s="20">
        <v>1.46777</v>
      </c>
      <c r="K106" s="21">
        <v>14.342000000000001</v>
      </c>
      <c r="L106" s="21">
        <v>144.803</v>
      </c>
      <c r="M106" s="21">
        <v>12.286</v>
      </c>
      <c r="N106" s="20"/>
      <c r="O106" s="20"/>
      <c r="P106" s="20"/>
      <c r="Q106" s="20"/>
      <c r="R106" s="20"/>
      <c r="S106" s="20"/>
      <c r="T106" s="20"/>
    </row>
    <row r="107" spans="1:20" x14ac:dyDescent="0.3">
      <c r="A107" s="20" t="s">
        <v>97</v>
      </c>
      <c r="B107" s="20">
        <v>2016</v>
      </c>
      <c r="C107" s="20">
        <v>58.652999999999999</v>
      </c>
      <c r="D107" s="21">
        <v>87.240200000000002</v>
      </c>
      <c r="E107" s="20">
        <v>12.53</v>
      </c>
      <c r="F107" s="21">
        <v>21.907258368418599</v>
      </c>
      <c r="G107" s="21">
        <v>18666.373652170601</v>
      </c>
      <c r="H107" s="21">
        <v>3.0930192075195801</v>
      </c>
      <c r="I107" s="21">
        <v>31.498899999999999</v>
      </c>
      <c r="J107" s="20">
        <v>1.2430600000000001</v>
      </c>
      <c r="K107" s="21">
        <v>14.125</v>
      </c>
      <c r="L107" s="21">
        <v>144.23500000000001</v>
      </c>
      <c r="M107" s="21">
        <v>12.887</v>
      </c>
      <c r="N107" s="20"/>
      <c r="O107" s="20"/>
      <c r="P107" s="20"/>
      <c r="Q107" s="20"/>
      <c r="R107" s="20"/>
      <c r="S107" s="20"/>
      <c r="T107" s="20"/>
    </row>
    <row r="108" spans="1:20" x14ac:dyDescent="0.3">
      <c r="A108" s="20" t="s">
        <v>97</v>
      </c>
      <c r="B108" s="20">
        <v>2017</v>
      </c>
      <c r="C108" s="20">
        <v>59.889000000000003</v>
      </c>
      <c r="D108" s="21">
        <v>88.102500000000006</v>
      </c>
      <c r="E108" s="20">
        <v>9.2799999999999994</v>
      </c>
      <c r="F108" s="21">
        <v>17.964694276480699</v>
      </c>
      <c r="G108" s="21">
        <v>20851.522349686002</v>
      </c>
      <c r="H108" s="21">
        <v>5.6346724896399101</v>
      </c>
      <c r="I108" s="21">
        <v>32.521999999999998</v>
      </c>
      <c r="J108" s="20">
        <v>1.27685</v>
      </c>
      <c r="K108" s="21">
        <v>12.175000000000001</v>
      </c>
      <c r="L108" s="21">
        <v>144.55699999999999</v>
      </c>
      <c r="M108" s="21">
        <v>10.769</v>
      </c>
      <c r="N108" s="20"/>
      <c r="O108" s="20"/>
      <c r="P108" s="20"/>
      <c r="Q108" s="20"/>
      <c r="R108" s="20"/>
      <c r="S108" s="20"/>
      <c r="T108" s="20"/>
    </row>
    <row r="109" spans="1:20" x14ac:dyDescent="0.3">
      <c r="A109" s="20" t="s">
        <v>97</v>
      </c>
      <c r="B109" s="20">
        <v>2018</v>
      </c>
      <c r="C109" s="20">
        <v>60.396999999999998</v>
      </c>
      <c r="D109" s="21">
        <v>89.356999999999999</v>
      </c>
      <c r="E109" s="20">
        <v>8.51</v>
      </c>
      <c r="F109" s="21">
        <v>18.204526006752499</v>
      </c>
      <c r="G109" s="21">
        <v>23618.136125458001</v>
      </c>
      <c r="H109" s="21">
        <v>3.6996975616172501</v>
      </c>
      <c r="I109" s="21">
        <v>33.372500000000002</v>
      </c>
      <c r="J109" s="20">
        <v>1.4099900000000001</v>
      </c>
      <c r="K109" s="21">
        <v>12.076000000000001</v>
      </c>
      <c r="L109" s="21">
        <v>145.54300000000001</v>
      </c>
      <c r="M109" s="21">
        <v>10.536</v>
      </c>
      <c r="N109" s="20"/>
      <c r="O109" s="20"/>
      <c r="P109" s="20"/>
      <c r="Q109" s="20"/>
      <c r="R109" s="20"/>
      <c r="S109" s="20"/>
      <c r="T109" s="20"/>
    </row>
    <row r="110" spans="1:20" x14ac:dyDescent="0.3">
      <c r="A110" s="20" t="s">
        <v>97</v>
      </c>
      <c r="B110" s="20">
        <v>2019</v>
      </c>
      <c r="C110" s="20">
        <v>60.706000000000003</v>
      </c>
      <c r="D110" s="21">
        <v>90.228899999999996</v>
      </c>
      <c r="E110" s="20">
        <v>7.59</v>
      </c>
      <c r="F110" s="21">
        <v>16.964424867765501</v>
      </c>
      <c r="G110" s="21">
        <v>24021.250141330602</v>
      </c>
      <c r="H110" s="21">
        <v>3.7266494346688401</v>
      </c>
      <c r="I110" s="21">
        <v>33.8508</v>
      </c>
      <c r="J110" s="20">
        <v>1.6205799999999999</v>
      </c>
      <c r="K110" s="21">
        <v>11.622999999999999</v>
      </c>
      <c r="L110" s="21">
        <v>147.047</v>
      </c>
      <c r="M110" s="21">
        <v>9.6440000000000001</v>
      </c>
      <c r="N110" s="20"/>
      <c r="O110" s="20"/>
      <c r="P110" s="20"/>
      <c r="Q110" s="20"/>
      <c r="R110" s="20"/>
      <c r="S110" s="20"/>
      <c r="T110" s="20"/>
    </row>
    <row r="111" spans="1:20" x14ac:dyDescent="0.3">
      <c r="A111" s="20" t="s">
        <v>97</v>
      </c>
      <c r="B111" s="20">
        <v>2020</v>
      </c>
      <c r="C111" s="20">
        <v>59.097999999999999</v>
      </c>
      <c r="D111" s="21">
        <v>89.058300000000003</v>
      </c>
      <c r="E111" s="20">
        <v>9.59</v>
      </c>
      <c r="F111" s="21">
        <v>20.621626433895099</v>
      </c>
      <c r="G111" s="21">
        <v>23933.993942106499</v>
      </c>
      <c r="H111" s="21">
        <v>-2.88380751483778</v>
      </c>
      <c r="I111" s="21">
        <v>34.270000000000003</v>
      </c>
      <c r="J111" s="20">
        <v>1.75315</v>
      </c>
      <c r="K111" s="21">
        <v>18.417000000000002</v>
      </c>
      <c r="L111" s="21">
        <v>144.83199999999999</v>
      </c>
      <c r="M111" s="21">
        <v>13.567</v>
      </c>
      <c r="N111" s="20"/>
      <c r="O111" s="20"/>
      <c r="P111" s="20"/>
      <c r="Q111" s="20"/>
      <c r="R111" s="20"/>
      <c r="S111" s="20"/>
      <c r="T111" s="20"/>
    </row>
    <row r="112" spans="1:20" x14ac:dyDescent="0.3">
      <c r="A112" s="20" t="s">
        <v>97</v>
      </c>
      <c r="B112" s="20">
        <v>2021</v>
      </c>
      <c r="C112" s="20">
        <v>59.753</v>
      </c>
      <c r="D112" s="21">
        <v>90.979699999999994</v>
      </c>
      <c r="E112" s="20">
        <v>9.8000000000000007</v>
      </c>
      <c r="F112" s="21">
        <v>20.6301155577085</v>
      </c>
      <c r="G112" s="21">
        <v>27951.1659277744</v>
      </c>
      <c r="H112" s="21">
        <v>8.2548804458003104</v>
      </c>
      <c r="I112" s="21">
        <v>37.357199999999999</v>
      </c>
      <c r="J112" s="20">
        <v>1.76766</v>
      </c>
      <c r="K112" s="21">
        <v>16.622</v>
      </c>
      <c r="L112" s="21">
        <v>148.74</v>
      </c>
      <c r="M112" s="21">
        <v>14.234</v>
      </c>
      <c r="N112" s="20"/>
      <c r="O112" s="20"/>
      <c r="P112" s="20"/>
      <c r="Q112" s="20"/>
      <c r="R112" s="20"/>
      <c r="S112" s="20"/>
      <c r="T112" s="20"/>
    </row>
    <row r="113" spans="1:20" x14ac:dyDescent="0.3">
      <c r="A113" s="20" t="s">
        <v>97</v>
      </c>
      <c r="B113" s="20">
        <v>2022</v>
      </c>
      <c r="C113" s="20">
        <v>61.987000000000002</v>
      </c>
      <c r="D113" s="21">
        <v>91.520200000000003</v>
      </c>
      <c r="E113" s="20">
        <v>7.28</v>
      </c>
      <c r="F113" s="21">
        <v>18.018643831561501</v>
      </c>
      <c r="G113" s="21">
        <v>28340.382654940498</v>
      </c>
      <c r="H113" s="21">
        <v>-1.2261696658779599</v>
      </c>
      <c r="I113" s="21">
        <v>39.721899999999998</v>
      </c>
      <c r="J113" s="20">
        <v>1.7820499999999999</v>
      </c>
      <c r="K113" s="21">
        <v>18.391999999999999</v>
      </c>
      <c r="L113" s="21">
        <v>152.27099999999999</v>
      </c>
      <c r="M113" s="21">
        <v>12.007</v>
      </c>
      <c r="N113" s="20"/>
      <c r="O113" s="20"/>
      <c r="P113" s="20"/>
      <c r="Q113" s="20"/>
      <c r="R113" s="20"/>
      <c r="S113" s="20"/>
      <c r="T113" s="20"/>
    </row>
    <row r="114" spans="1:20" x14ac:dyDescent="0.3">
      <c r="A114" s="7" t="s">
        <v>96</v>
      </c>
      <c r="B114" s="7">
        <v>2007</v>
      </c>
      <c r="C114" s="7">
        <f t="array" ref="C114:C129">TRANSPOSE(EMPLOYrate!D25:S25)</f>
        <v>51.497999999999998</v>
      </c>
      <c r="D114" s="8">
        <v>66.09</v>
      </c>
      <c r="E114" s="7">
        <f t="array" ref="E114:E129">TRANSPOSE(ictgoods!D13:S13)</f>
        <v>4.84</v>
      </c>
      <c r="F114" s="8" cm="1">
        <f t="array" ref="F114:F129">TRANSPOSE(hightechmanu!C12:R12)</f>
        <v>20.142834949886801</v>
      </c>
      <c r="G114" s="8" cm="1">
        <f t="array" ref="G114:G129">TRANSPOSE(gdppercapita!D10:S10)</f>
        <v>41486.190782878599</v>
      </c>
      <c r="H114" s="8" cm="1">
        <f t="array" ref="H114:H129">TRANSPOSE(gdpannual!D10:S10)</f>
        <v>2.5304818835106602</v>
      </c>
      <c r="I114" s="8" cm="1">
        <f t="array" ref="I114:I129">TRANSPOSE(fixedbroadband!D2:S2)</f>
        <v>25.2273</v>
      </c>
      <c r="J114" s="7" cm="1">
        <f t="array" ref="J114:J129">TRANSPOSE(rdexpediture!D18:S18)</f>
        <v>2.0245099999999998</v>
      </c>
      <c r="K114" s="8" cm="1">
        <f t="array" ref="K114:K129">TRANSPOSE(YOUTH_EMPLOY!D12:S12)</f>
        <v>19.643999999999998</v>
      </c>
      <c r="L114" s="8">
        <f t="array" ref="L114:L129">TRANSPOSE(mobile_celular!D13:S13)</f>
        <v>88.668800000000005</v>
      </c>
      <c r="M114" s="8">
        <f t="array" ref="M114:M129">TRANSPOSE(unemployEAD!C12:R12)</f>
        <v>7.149</v>
      </c>
      <c r="N114" s="7"/>
      <c r="O114" s="7"/>
      <c r="P114" s="7"/>
      <c r="Q114" s="7"/>
      <c r="R114" s="7"/>
      <c r="S114" s="7"/>
      <c r="T114" s="7"/>
    </row>
    <row r="115" spans="1:20" x14ac:dyDescent="0.3">
      <c r="A115" s="7" t="s">
        <v>96</v>
      </c>
      <c r="B115" s="7">
        <v>2008</v>
      </c>
      <c r="C115" s="7">
        <v>51.927999999999997</v>
      </c>
      <c r="D115" s="8">
        <v>70.680000000000007</v>
      </c>
      <c r="E115" s="7">
        <v>4.26</v>
      </c>
      <c r="F115" s="8">
        <v>21.461797672835399</v>
      </c>
      <c r="G115" s="8">
        <v>45464.818138515802</v>
      </c>
      <c r="H115" s="8">
        <v>0.380171435849121</v>
      </c>
      <c r="I115" s="8">
        <v>28.400700000000001</v>
      </c>
      <c r="J115" s="7">
        <v>2.0611700000000002</v>
      </c>
      <c r="K115" s="8">
        <v>19.213999999999999</v>
      </c>
      <c r="L115" s="8">
        <v>92.341200000000001</v>
      </c>
      <c r="M115" s="8">
        <v>6.9109999999999996</v>
      </c>
      <c r="N115" s="7"/>
      <c r="O115" s="7"/>
      <c r="P115" s="7"/>
      <c r="Q115" s="7"/>
      <c r="R115" s="7"/>
      <c r="S115" s="7"/>
      <c r="T115" s="7"/>
    </row>
    <row r="116" spans="1:20" x14ac:dyDescent="0.3">
      <c r="A116" s="7" t="s">
        <v>96</v>
      </c>
      <c r="B116" s="7">
        <v>2009</v>
      </c>
      <c r="C116" s="7">
        <v>51.192999999999998</v>
      </c>
      <c r="D116" s="8">
        <v>71.58</v>
      </c>
      <c r="E116" s="7">
        <v>4.26</v>
      </c>
      <c r="F116" s="8">
        <v>24.123557619923901</v>
      </c>
      <c r="G116" s="8">
        <v>41728.0884164132</v>
      </c>
      <c r="H116" s="8">
        <v>-2.82455153714782</v>
      </c>
      <c r="I116" s="8">
        <v>31.457999999999998</v>
      </c>
      <c r="J116" s="7">
        <v>2.2120700000000002</v>
      </c>
      <c r="K116" s="8">
        <v>24.006</v>
      </c>
      <c r="L116" s="8">
        <v>91.778199999999998</v>
      </c>
      <c r="M116" s="8">
        <v>8.7970000000000006</v>
      </c>
      <c r="N116" s="7"/>
      <c r="O116" s="7"/>
      <c r="P116" s="7"/>
      <c r="Q116" s="7"/>
      <c r="R116" s="7"/>
      <c r="S116" s="7"/>
      <c r="T116" s="7"/>
    </row>
    <row r="117" spans="1:20" x14ac:dyDescent="0.3">
      <c r="A117" s="7" t="s">
        <v>96</v>
      </c>
      <c r="B117" s="7">
        <v>2010</v>
      </c>
      <c r="C117" s="7">
        <v>51.030999999999999</v>
      </c>
      <c r="D117" s="8">
        <v>77.28</v>
      </c>
      <c r="E117" s="7">
        <v>4.41</v>
      </c>
      <c r="F117" s="8">
        <v>26.323380007467399</v>
      </c>
      <c r="G117" s="8">
        <v>40694.821169702402</v>
      </c>
      <c r="H117" s="8">
        <v>2.0003247603905101</v>
      </c>
      <c r="I117" s="8">
        <v>33.645400000000002</v>
      </c>
      <c r="J117" s="7">
        <v>2.1785700000000001</v>
      </c>
      <c r="K117" s="8">
        <v>23.591999999999999</v>
      </c>
      <c r="L117" s="8">
        <v>91.118600000000001</v>
      </c>
      <c r="M117" s="8">
        <v>8.7409999999999997</v>
      </c>
      <c r="N117" s="7"/>
      <c r="O117" s="7"/>
      <c r="P117" s="7"/>
      <c r="Q117" s="7"/>
      <c r="R117" s="7"/>
      <c r="S117" s="7"/>
      <c r="T117" s="7"/>
    </row>
    <row r="118" spans="1:20" x14ac:dyDescent="0.3">
      <c r="A118" s="7" t="s">
        <v>96</v>
      </c>
      <c r="B118" s="7">
        <v>2011</v>
      </c>
      <c r="C118" s="7">
        <v>50.859000000000002</v>
      </c>
      <c r="D118" s="8">
        <v>77.819999999999993</v>
      </c>
      <c r="E118" s="7">
        <v>4.2300000000000004</v>
      </c>
      <c r="F118" s="8">
        <v>25.1193585926138</v>
      </c>
      <c r="G118" s="8">
        <v>43929.7840873811</v>
      </c>
      <c r="H118" s="8">
        <v>2.4375765372900702</v>
      </c>
      <c r="I118" s="8">
        <v>35.693800000000003</v>
      </c>
      <c r="J118" s="7">
        <v>2.1916099999999998</v>
      </c>
      <c r="K118" s="8">
        <v>23.018000000000001</v>
      </c>
      <c r="L118" s="8">
        <v>93.852900000000005</v>
      </c>
      <c r="M118" s="8">
        <v>8.9</v>
      </c>
      <c r="N118" s="7"/>
      <c r="O118" s="7"/>
      <c r="P118" s="7"/>
      <c r="Q118" s="7"/>
      <c r="R118" s="7"/>
      <c r="S118" s="7"/>
      <c r="T118" s="7"/>
    </row>
    <row r="119" spans="1:20" x14ac:dyDescent="0.3">
      <c r="A119" s="7" t="s">
        <v>96</v>
      </c>
      <c r="B119" s="7">
        <v>2012</v>
      </c>
      <c r="C119" s="7">
        <v>50.726999999999997</v>
      </c>
      <c r="D119" s="8">
        <v>81.44</v>
      </c>
      <c r="E119" s="7">
        <v>4.07</v>
      </c>
      <c r="F119" s="8">
        <v>26.690631956632199</v>
      </c>
      <c r="G119" s="8">
        <v>40863.581441233298</v>
      </c>
      <c r="H119" s="8">
        <v>0.183835264973012</v>
      </c>
      <c r="I119" s="8">
        <v>37.434600000000003</v>
      </c>
      <c r="J119" s="7">
        <v>2.2270699999999999</v>
      </c>
      <c r="K119" s="8">
        <v>24.949000000000002</v>
      </c>
      <c r="L119" s="8">
        <v>97.192499999999995</v>
      </c>
      <c r="M119" s="8">
        <v>9.8420000000000005</v>
      </c>
      <c r="N119" s="7"/>
      <c r="O119" s="7"/>
      <c r="P119" s="7"/>
      <c r="Q119" s="7"/>
      <c r="R119" s="7"/>
      <c r="S119" s="7"/>
      <c r="T119" s="7"/>
    </row>
    <row r="120" spans="1:20" x14ac:dyDescent="0.3">
      <c r="A120" s="7" t="s">
        <v>96</v>
      </c>
      <c r="B120" s="7">
        <v>2013</v>
      </c>
      <c r="C120" s="7">
        <v>50.838000000000001</v>
      </c>
      <c r="D120" s="8">
        <v>81.919799999999995</v>
      </c>
      <c r="E120" s="7">
        <v>3.96</v>
      </c>
      <c r="F120" s="8">
        <v>27.181717756541101</v>
      </c>
      <c r="G120" s="8">
        <v>42669.179511189199</v>
      </c>
      <c r="H120" s="8">
        <v>0.78175644623100005</v>
      </c>
      <c r="I120" s="8">
        <v>38.734099999999998</v>
      </c>
      <c r="J120" s="7">
        <v>2.2370299999999999</v>
      </c>
      <c r="K120" s="8">
        <v>24.363</v>
      </c>
      <c r="L120" s="8">
        <v>98.347899999999996</v>
      </c>
      <c r="M120" s="8">
        <v>10.116</v>
      </c>
      <c r="N120" s="7"/>
      <c r="O120" s="7"/>
      <c r="P120" s="7"/>
      <c r="Q120" s="7"/>
      <c r="R120" s="7"/>
      <c r="S120" s="7"/>
      <c r="T120" s="7"/>
    </row>
    <row r="121" spans="1:20" x14ac:dyDescent="0.3">
      <c r="A121" s="7" t="s">
        <v>96</v>
      </c>
      <c r="B121" s="7">
        <v>2014</v>
      </c>
      <c r="C121" s="7">
        <v>50.335999999999999</v>
      </c>
      <c r="D121" s="8">
        <v>83.751099999999994</v>
      </c>
      <c r="E121" s="7">
        <v>3.86</v>
      </c>
      <c r="F121" s="8">
        <v>27.470273668688399</v>
      </c>
      <c r="G121" s="8">
        <v>43148.045928841602</v>
      </c>
      <c r="H121" s="8">
        <v>0.99783294729525096</v>
      </c>
      <c r="I121" s="8">
        <v>40.142200000000003</v>
      </c>
      <c r="J121" s="7">
        <v>2.2759200000000002</v>
      </c>
      <c r="K121" s="8">
        <v>24.827999999999999</v>
      </c>
      <c r="L121" s="8">
        <v>101.13200000000001</v>
      </c>
      <c r="M121" s="8">
        <v>10.624000000000001</v>
      </c>
      <c r="N121" s="7"/>
      <c r="O121" s="7"/>
      <c r="P121" s="7"/>
      <c r="Q121" s="7"/>
      <c r="R121" s="7"/>
      <c r="S121" s="7"/>
      <c r="T121" s="7"/>
    </row>
    <row r="122" spans="1:20" x14ac:dyDescent="0.3">
      <c r="A122" s="7" t="s">
        <v>96</v>
      </c>
      <c r="B122" s="7">
        <v>2015</v>
      </c>
      <c r="C122" s="7">
        <v>50.256</v>
      </c>
      <c r="D122" s="8">
        <v>78.006</v>
      </c>
      <c r="E122" s="7">
        <v>4.0199999999999996</v>
      </c>
      <c r="F122" s="8">
        <v>28.211690850532499</v>
      </c>
      <c r="G122" s="8">
        <v>36702.432373337899</v>
      </c>
      <c r="H122" s="8">
        <v>1.06675474783462</v>
      </c>
      <c r="I122" s="8">
        <v>41.387099999999997</v>
      </c>
      <c r="J122" s="7">
        <v>2.22702</v>
      </c>
      <c r="K122" s="8">
        <v>25.262</v>
      </c>
      <c r="L122" s="8">
        <v>102.718</v>
      </c>
      <c r="M122" s="8">
        <v>10.798999999999999</v>
      </c>
      <c r="N122" s="7"/>
      <c r="O122" s="7"/>
      <c r="P122" s="7"/>
      <c r="Q122" s="7"/>
      <c r="R122" s="7"/>
      <c r="S122" s="7"/>
      <c r="T122" s="7"/>
    </row>
    <row r="123" spans="1:20" x14ac:dyDescent="0.3">
      <c r="A123" s="7" t="s">
        <v>96</v>
      </c>
      <c r="B123" s="7">
        <v>2016</v>
      </c>
      <c r="C123" s="7">
        <v>50.308</v>
      </c>
      <c r="D123" s="8">
        <v>79.269800000000004</v>
      </c>
      <c r="E123" s="7">
        <v>3.98</v>
      </c>
      <c r="F123" s="8">
        <v>27.9331801598167</v>
      </c>
      <c r="G123" s="8">
        <v>37024.215713366801</v>
      </c>
      <c r="H123" s="8">
        <v>0.86003107542403201</v>
      </c>
      <c r="I123" s="8">
        <v>42.527799999999999</v>
      </c>
      <c r="J123" s="7">
        <v>2.2223799999999998</v>
      </c>
      <c r="K123" s="8">
        <v>24.937999999999999</v>
      </c>
      <c r="L123" s="8">
        <v>103.81699999999999</v>
      </c>
      <c r="M123" s="8">
        <v>10.663</v>
      </c>
      <c r="N123" s="7"/>
      <c r="O123" s="7"/>
      <c r="P123" s="7"/>
      <c r="Q123" s="7"/>
      <c r="R123" s="7"/>
      <c r="S123" s="7"/>
      <c r="T123" s="7"/>
    </row>
    <row r="124" spans="1:20" x14ac:dyDescent="0.3">
      <c r="A124" s="7" t="s">
        <v>96</v>
      </c>
      <c r="B124" s="7">
        <v>2017</v>
      </c>
      <c r="C124" s="7">
        <v>50.402999999999999</v>
      </c>
      <c r="D124" s="8">
        <v>80.502499999999998</v>
      </c>
      <c r="E124" s="7">
        <v>3.93</v>
      </c>
      <c r="F124" s="8">
        <v>26.018021899866799</v>
      </c>
      <c r="G124" s="8">
        <v>38687.162640716298</v>
      </c>
      <c r="H124" s="8">
        <v>2.0836148599739901</v>
      </c>
      <c r="I124" s="8">
        <v>43.624299999999998</v>
      </c>
      <c r="J124" s="7">
        <v>2.1988799999999999</v>
      </c>
      <c r="K124" s="8">
        <v>22.571999999999999</v>
      </c>
      <c r="L124" s="8">
        <v>105.718</v>
      </c>
      <c r="M124" s="8">
        <v>10.071</v>
      </c>
      <c r="N124" s="7"/>
      <c r="O124" s="7"/>
      <c r="P124" s="7"/>
      <c r="Q124" s="7"/>
      <c r="R124" s="7"/>
      <c r="S124" s="7"/>
      <c r="T124" s="7"/>
    </row>
    <row r="125" spans="1:20" x14ac:dyDescent="0.3">
      <c r="A125" s="7" t="s">
        <v>96</v>
      </c>
      <c r="B125" s="7">
        <v>2018</v>
      </c>
      <c r="C125" s="7">
        <v>50.607999999999997</v>
      </c>
      <c r="D125" s="8">
        <v>82.043199999999999</v>
      </c>
      <c r="E125" s="7">
        <v>3.96</v>
      </c>
      <c r="F125" s="8">
        <v>25.934784925577599</v>
      </c>
      <c r="G125" s="8">
        <v>41418.176648484397</v>
      </c>
      <c r="H125" s="8">
        <v>1.6459087239588599</v>
      </c>
      <c r="I125" s="8">
        <v>44.414200000000001</v>
      </c>
      <c r="J125" s="7">
        <v>2.1966600000000001</v>
      </c>
      <c r="K125" s="8">
        <v>20.952999999999999</v>
      </c>
      <c r="L125" s="8">
        <v>107.482</v>
      </c>
      <c r="M125" s="8">
        <v>9.6539999999999999</v>
      </c>
      <c r="N125" s="7"/>
      <c r="O125" s="7"/>
      <c r="P125" s="7"/>
      <c r="Q125" s="7"/>
      <c r="R125" s="7"/>
      <c r="S125" s="7"/>
      <c r="T125" s="7"/>
    </row>
    <row r="126" spans="1:20" x14ac:dyDescent="0.3">
      <c r="A126" s="7" t="s">
        <v>96</v>
      </c>
      <c r="B126" s="7">
        <v>2019</v>
      </c>
      <c r="C126" s="7">
        <v>50.621000000000002</v>
      </c>
      <c r="D126" s="8">
        <v>83.339699999999993</v>
      </c>
      <c r="E126" s="7">
        <v>3.79</v>
      </c>
      <c r="F126" s="8">
        <v>26.926597640741299</v>
      </c>
      <c r="G126" s="8">
        <v>40408.284857475002</v>
      </c>
      <c r="H126" s="8">
        <v>2.02744646419236</v>
      </c>
      <c r="I126" s="8">
        <v>45.276499999999999</v>
      </c>
      <c r="J126" s="7">
        <v>2.1917900000000001</v>
      </c>
      <c r="K126" s="8">
        <v>19.928999999999998</v>
      </c>
      <c r="L126" s="8">
        <v>109.601</v>
      </c>
      <c r="M126" s="8">
        <v>9.1449999999999996</v>
      </c>
      <c r="N126" s="7"/>
      <c r="O126" s="7"/>
      <c r="P126" s="7"/>
      <c r="Q126" s="7"/>
      <c r="R126" s="7"/>
      <c r="S126" s="7"/>
      <c r="T126" s="7"/>
    </row>
    <row r="127" spans="1:20" x14ac:dyDescent="0.3">
      <c r="A127" s="7" t="s">
        <v>96</v>
      </c>
      <c r="B127" s="7">
        <v>2020</v>
      </c>
      <c r="C127" s="7">
        <v>50.167000000000002</v>
      </c>
      <c r="D127" s="8">
        <v>84.706400000000002</v>
      </c>
      <c r="E127" s="7">
        <v>3.77</v>
      </c>
      <c r="F127" s="8">
        <v>23.228835724997602</v>
      </c>
      <c r="G127" s="8">
        <v>39169.8606000707</v>
      </c>
      <c r="H127" s="8">
        <v>-7.4406458994823002</v>
      </c>
      <c r="I127" s="8">
        <v>46.471200000000003</v>
      </c>
      <c r="J127" s="7">
        <v>2.2746400000000002</v>
      </c>
      <c r="K127" s="8">
        <v>20.398</v>
      </c>
      <c r="L127" s="8">
        <v>110.387</v>
      </c>
      <c r="M127" s="8">
        <v>8.8539999999999992</v>
      </c>
      <c r="N127" s="7"/>
      <c r="O127" s="7"/>
      <c r="P127" s="7"/>
      <c r="Q127" s="7"/>
      <c r="R127" s="7"/>
      <c r="S127" s="7"/>
      <c r="T127" s="7"/>
    </row>
    <row r="128" spans="1:20" x14ac:dyDescent="0.3">
      <c r="A128" s="7" t="s">
        <v>96</v>
      </c>
      <c r="B128" s="7">
        <v>2021</v>
      </c>
      <c r="C128" s="7">
        <v>51.536000000000001</v>
      </c>
      <c r="D128" s="8">
        <v>86.095500000000001</v>
      </c>
      <c r="E128" s="7">
        <v>3.64</v>
      </c>
      <c r="F128" s="8">
        <v>21.9247132369801</v>
      </c>
      <c r="G128" s="8">
        <v>43725.099952124503</v>
      </c>
      <c r="H128" s="8">
        <v>6.8823378336023904</v>
      </c>
      <c r="I128" s="8">
        <v>47.644199999999998</v>
      </c>
      <c r="J128" s="7">
        <v>2.2180800000000001</v>
      </c>
      <c r="K128" s="8">
        <v>19.283000000000001</v>
      </c>
      <c r="L128" s="8">
        <v>113.953</v>
      </c>
      <c r="M128" s="8">
        <v>8.4809999999999999</v>
      </c>
      <c r="N128" s="7"/>
      <c r="O128" s="7"/>
      <c r="P128" s="7"/>
      <c r="Q128" s="7"/>
      <c r="R128" s="7"/>
      <c r="S128" s="7"/>
      <c r="T128" s="7"/>
    </row>
    <row r="129" spans="1:20" x14ac:dyDescent="0.3">
      <c r="A129" s="7" t="s">
        <v>96</v>
      </c>
      <c r="B129" s="7">
        <v>2022</v>
      </c>
      <c r="C129" s="7">
        <v>52.115000000000002</v>
      </c>
      <c r="D129" s="8">
        <v>85.333299999999994</v>
      </c>
      <c r="E129" s="7">
        <v>3.65</v>
      </c>
      <c r="F129" s="8">
        <v>22.983183444706299</v>
      </c>
      <c r="G129" s="8">
        <v>40988.639640657901</v>
      </c>
      <c r="H129" s="8">
        <v>2.71676264185913</v>
      </c>
      <c r="I129" s="8">
        <v>48.2502</v>
      </c>
      <c r="J129" s="7">
        <v>2.23312</v>
      </c>
      <c r="K129" s="8">
        <v>17.850999999999999</v>
      </c>
      <c r="L129" s="8">
        <v>115.95099999999999</v>
      </c>
      <c r="M129" s="8">
        <v>8.1790000000000003</v>
      </c>
      <c r="N129" s="7"/>
      <c r="O129" s="7"/>
      <c r="P129" s="7"/>
      <c r="Q129" s="7"/>
      <c r="R129" s="7"/>
      <c r="S129" s="7"/>
      <c r="T129" s="7"/>
    </row>
    <row r="130" spans="1:20" x14ac:dyDescent="0.3">
      <c r="A130" s="16" t="s">
        <v>95</v>
      </c>
      <c r="B130" s="16">
        <v>2007</v>
      </c>
      <c r="C130" s="16">
        <f t="array" ref="C130:C145">TRANSPOSE(EMPLOYrate!D22:S22)</f>
        <v>57.008000000000003</v>
      </c>
      <c r="D130" s="17" cm="1">
        <f t="array" ref="D130:D145">TRANSPOSE(ictuse!D10:S10)</f>
        <v>80.78</v>
      </c>
      <c r="E130" s="17">
        <f t="array" ref="E130:E145">TRANSPOSE(ictgoods!D4:S4)</f>
        <v>15.58</v>
      </c>
      <c r="F130" s="17" cm="1">
        <f t="array" ref="F130:F145">TRANSPOSE(hightechmanu!C11:R11)</f>
        <v>21.767755955483299</v>
      </c>
      <c r="G130" s="17" cm="1">
        <f t="array" ref="G130:G145">TRANSPOSE(gdppercapita!D9:S9)</f>
        <v>48473.024009145403</v>
      </c>
      <c r="H130" s="17" cm="1">
        <f t="array" ref="H130:H145">TRANSPOSE(gdpannual!D28:S28)</f>
        <v>5.3128017669414396</v>
      </c>
      <c r="I130" s="17" cm="1">
        <f t="array" ref="I130:I145">TRANSPOSE(fixedbroadband!D9:S9)</f>
        <v>30.5746</v>
      </c>
      <c r="J130" s="17" cm="1">
        <f t="array" ref="J130:J145">TRANSPOSE(rdexpediture!D9:S9)</f>
        <v>3.33704</v>
      </c>
      <c r="K130" s="17" cm="1">
        <f t="array" ref="K130:K145">TRANSPOSE(YOUTH_EMPLOY!D11:S11)</f>
        <v>16.425999999999998</v>
      </c>
      <c r="L130" s="17">
        <f t="array" ref="L130:L145">TRANSPOSE(mobile_celular!D10:S10)</f>
        <v>114.962</v>
      </c>
      <c r="M130" s="17">
        <f t="array" ref="M130:M145">TRANSPOSE(unemployEAD!C11:R11)</f>
        <v>7.0410000000000004</v>
      </c>
      <c r="N130" s="17"/>
      <c r="O130" s="17"/>
      <c r="P130" s="17"/>
      <c r="Q130" s="17"/>
      <c r="R130" s="17"/>
      <c r="S130" s="17"/>
      <c r="T130" s="17"/>
    </row>
    <row r="131" spans="1:20" x14ac:dyDescent="0.3">
      <c r="A131" s="16" t="s">
        <v>95</v>
      </c>
      <c r="B131" s="16">
        <v>2008</v>
      </c>
      <c r="C131" s="16">
        <v>57.563000000000002</v>
      </c>
      <c r="D131" s="17">
        <v>83.67</v>
      </c>
      <c r="E131" s="16">
        <v>14.88</v>
      </c>
      <c r="F131" s="17">
        <v>21.487889929162499</v>
      </c>
      <c r="G131" s="17">
        <v>53769.472624038499</v>
      </c>
      <c r="H131" s="17">
        <v>0.78443123571704998</v>
      </c>
      <c r="I131" s="17">
        <v>30.4514</v>
      </c>
      <c r="J131" s="16">
        <v>3.5369700000000002</v>
      </c>
      <c r="K131" s="17">
        <v>16.337</v>
      </c>
      <c r="L131" s="17">
        <v>128.54300000000001</v>
      </c>
      <c r="M131" s="17">
        <v>6.383</v>
      </c>
      <c r="N131" s="16"/>
      <c r="O131" s="16"/>
      <c r="P131" s="16"/>
      <c r="Q131" s="16"/>
      <c r="R131" s="16"/>
      <c r="S131" s="16"/>
      <c r="T131" s="16"/>
    </row>
    <row r="132" spans="1:20" x14ac:dyDescent="0.3">
      <c r="A132" s="16" t="s">
        <v>95</v>
      </c>
      <c r="B132" s="16">
        <v>2009</v>
      </c>
      <c r="C132" s="16">
        <v>55.500999999999998</v>
      </c>
      <c r="D132" s="17">
        <v>82.49</v>
      </c>
      <c r="E132" s="16">
        <v>10.73</v>
      </c>
      <c r="F132" s="17">
        <v>18.015979962713701</v>
      </c>
      <c r="G132" s="17">
        <v>47478.349531099899</v>
      </c>
      <c r="H132" s="17">
        <v>-8.0760311655239292</v>
      </c>
      <c r="I132" s="17">
        <v>29.3246</v>
      </c>
      <c r="J132" s="16">
        <v>3.7340200000000001</v>
      </c>
      <c r="K132" s="17">
        <v>21.376000000000001</v>
      </c>
      <c r="L132" s="17">
        <v>144.226</v>
      </c>
      <c r="M132" s="17">
        <v>9.1460000000000008</v>
      </c>
      <c r="N132" s="16"/>
      <c r="O132" s="16"/>
      <c r="P132" s="16"/>
      <c r="Q132" s="16"/>
      <c r="R132" s="16"/>
      <c r="S132" s="16"/>
      <c r="T132" s="16"/>
    </row>
    <row r="133" spans="1:20" x14ac:dyDescent="0.3">
      <c r="A133" s="16" t="s">
        <v>95</v>
      </c>
      <c r="B133" s="16">
        <v>2010</v>
      </c>
      <c r="C133" s="16">
        <v>54.896999999999998</v>
      </c>
      <c r="D133" s="17">
        <v>86.89</v>
      </c>
      <c r="E133" s="16">
        <v>6.36</v>
      </c>
      <c r="F133" s="17">
        <v>13.146863762203401</v>
      </c>
      <c r="G133" s="17">
        <v>46506.291901656601</v>
      </c>
      <c r="H133" s="17">
        <v>3.1682879121620999</v>
      </c>
      <c r="I133" s="17">
        <v>29.075099999999999</v>
      </c>
      <c r="J133" s="16">
        <v>3.7053199999999999</v>
      </c>
      <c r="K133" s="17">
        <v>21.288</v>
      </c>
      <c r="L133" s="17">
        <v>156.43199999999999</v>
      </c>
      <c r="M133" s="17">
        <v>8.9250000000000007</v>
      </c>
      <c r="N133" s="16"/>
      <c r="O133" s="16"/>
      <c r="P133" s="16"/>
      <c r="Q133" s="16"/>
      <c r="R133" s="16"/>
      <c r="S133" s="16"/>
      <c r="T133" s="16"/>
    </row>
    <row r="134" spans="1:20" x14ac:dyDescent="0.3">
      <c r="A134" s="16" t="s">
        <v>95</v>
      </c>
      <c r="B134" s="16">
        <v>2011</v>
      </c>
      <c r="C134" s="16">
        <v>55.262</v>
      </c>
      <c r="D134" s="17">
        <v>88.71</v>
      </c>
      <c r="E134" s="16">
        <v>4.92</v>
      </c>
      <c r="F134" s="17">
        <v>11.0754610454262</v>
      </c>
      <c r="G134" s="17">
        <v>51060.324258976601</v>
      </c>
      <c r="H134" s="17">
        <v>2.3903945539682701</v>
      </c>
      <c r="I134" s="17">
        <v>29.805599999999998</v>
      </c>
      <c r="J134" s="16">
        <v>3.6180599999999998</v>
      </c>
      <c r="K134" s="17">
        <v>19.934000000000001</v>
      </c>
      <c r="L134" s="17">
        <v>165.917</v>
      </c>
      <c r="M134" s="17">
        <v>8.1780000000000008</v>
      </c>
      <c r="N134" s="16"/>
      <c r="O134" s="16"/>
      <c r="P134" s="16"/>
      <c r="Q134" s="16"/>
      <c r="R134" s="16"/>
      <c r="S134" s="16"/>
      <c r="T134" s="16"/>
    </row>
    <row r="135" spans="1:20" x14ac:dyDescent="0.3">
      <c r="A135" s="16" t="s">
        <v>95</v>
      </c>
      <c r="B135" s="16">
        <v>2012</v>
      </c>
      <c r="C135" s="16">
        <v>55.134999999999998</v>
      </c>
      <c r="D135" s="17">
        <v>89.88</v>
      </c>
      <c r="E135" s="16">
        <v>3.98</v>
      </c>
      <c r="F135" s="17">
        <v>10.473913690223499</v>
      </c>
      <c r="G135" s="17">
        <v>47551.674084136903</v>
      </c>
      <c r="H135" s="17">
        <v>-1.5228401304068899</v>
      </c>
      <c r="I135" s="17">
        <v>30.432400000000001</v>
      </c>
      <c r="J135" s="16">
        <v>3.39832</v>
      </c>
      <c r="K135" s="17">
        <v>18.867999999999999</v>
      </c>
      <c r="L135" s="17">
        <v>172.14699999999999</v>
      </c>
      <c r="M135" s="17">
        <v>8.2010000000000005</v>
      </c>
      <c r="N135" s="16"/>
      <c r="O135" s="16"/>
      <c r="P135" s="16"/>
      <c r="Q135" s="16"/>
      <c r="R135" s="16"/>
      <c r="S135" s="16"/>
      <c r="T135" s="16"/>
    </row>
    <row r="136" spans="1:20" x14ac:dyDescent="0.3">
      <c r="A136" s="16" t="s">
        <v>95</v>
      </c>
      <c r="B136" s="16">
        <v>2013</v>
      </c>
      <c r="C136" s="16">
        <v>54.295999999999999</v>
      </c>
      <c r="D136" s="17">
        <v>91.514399999999995</v>
      </c>
      <c r="E136" s="16">
        <v>2.31</v>
      </c>
      <c r="F136" s="17">
        <v>9.0264325792686808</v>
      </c>
      <c r="G136" s="17">
        <v>49691.014520073797</v>
      </c>
      <c r="H136" s="17">
        <v>-0.97974102494961801</v>
      </c>
      <c r="I136" s="17">
        <v>31.626799999999999</v>
      </c>
      <c r="J136" s="16">
        <v>3.2713700000000001</v>
      </c>
      <c r="K136" s="17">
        <v>19.817</v>
      </c>
      <c r="L136" s="17">
        <v>136.25899999999999</v>
      </c>
      <c r="M136" s="17">
        <v>8.7560000000000002</v>
      </c>
      <c r="N136" s="16"/>
      <c r="O136" s="16"/>
      <c r="P136" s="16"/>
      <c r="Q136" s="16"/>
      <c r="R136" s="16"/>
      <c r="S136" s="16"/>
      <c r="T136" s="16"/>
    </row>
    <row r="137" spans="1:20" x14ac:dyDescent="0.3">
      <c r="A137" s="16" t="s">
        <v>95</v>
      </c>
      <c r="B137" s="16">
        <v>2014</v>
      </c>
      <c r="C137" s="16">
        <v>53.801000000000002</v>
      </c>
      <c r="D137" s="17">
        <v>86.5304</v>
      </c>
      <c r="E137" s="16">
        <v>2.62</v>
      </c>
      <c r="F137" s="17">
        <v>10.052520608432101</v>
      </c>
      <c r="G137" s="17">
        <v>50073.776081587101</v>
      </c>
      <c r="H137" s="17">
        <v>-0.47806842478369999</v>
      </c>
      <c r="I137" s="17">
        <v>32.197000000000003</v>
      </c>
      <c r="J137" s="16">
        <v>3.14751</v>
      </c>
      <c r="K137" s="17">
        <v>20.454000000000001</v>
      </c>
      <c r="L137" s="17">
        <v>139.19900000000001</v>
      </c>
      <c r="M137" s="17">
        <v>9.4</v>
      </c>
      <c r="N137" s="16"/>
      <c r="O137" s="16"/>
      <c r="P137" s="16"/>
      <c r="Q137" s="16"/>
      <c r="R137" s="16"/>
      <c r="S137" s="16"/>
      <c r="T137" s="16"/>
    </row>
    <row r="138" spans="1:20" x14ac:dyDescent="0.3">
      <c r="A138" s="16" t="s">
        <v>95</v>
      </c>
      <c r="B138" s="16">
        <v>2015</v>
      </c>
      <c r="C138" s="16">
        <v>53.43</v>
      </c>
      <c r="D138" s="17">
        <v>86.4221</v>
      </c>
      <c r="E138" s="16">
        <v>2.46</v>
      </c>
      <c r="F138" s="17">
        <v>10.184282786607501</v>
      </c>
      <c r="G138" s="17">
        <v>42560.345676710203</v>
      </c>
      <c r="H138" s="17">
        <v>0.46650376632267399</v>
      </c>
      <c r="I138" s="17">
        <v>31.569099999999999</v>
      </c>
      <c r="J138" s="16">
        <v>2.8719600000000001</v>
      </c>
      <c r="K138" s="17">
        <v>22.303999999999998</v>
      </c>
      <c r="L138" s="17">
        <v>134.97399999999999</v>
      </c>
      <c r="M138" s="17">
        <v>10.243</v>
      </c>
      <c r="N138" s="16"/>
      <c r="O138" s="16"/>
      <c r="P138" s="16"/>
      <c r="Q138" s="16"/>
      <c r="R138" s="16"/>
      <c r="S138" s="16"/>
      <c r="T138" s="16"/>
    </row>
    <row r="139" spans="1:20" x14ac:dyDescent="0.3">
      <c r="A139" s="16" t="s">
        <v>95</v>
      </c>
      <c r="B139" s="16">
        <v>2016</v>
      </c>
      <c r="C139" s="16">
        <v>53.439</v>
      </c>
      <c r="D139" s="17">
        <v>87.703599999999994</v>
      </c>
      <c r="E139" s="16">
        <v>2.69</v>
      </c>
      <c r="F139" s="17">
        <v>10.052829776297999</v>
      </c>
      <c r="G139" s="17">
        <v>43451.2562442157</v>
      </c>
      <c r="H139" s="17">
        <v>2.57193414898753</v>
      </c>
      <c r="I139" s="17">
        <v>31.152899999999999</v>
      </c>
      <c r="J139" s="16">
        <v>2.7244199999999998</v>
      </c>
      <c r="K139" s="17">
        <v>20.056999999999999</v>
      </c>
      <c r="L139" s="17">
        <v>131.38300000000001</v>
      </c>
      <c r="M139" s="17">
        <v>9.51</v>
      </c>
      <c r="N139" s="16"/>
      <c r="O139" s="16"/>
      <c r="P139" s="16"/>
      <c r="Q139" s="16"/>
      <c r="R139" s="16"/>
      <c r="S139" s="16"/>
      <c r="T139" s="16"/>
    </row>
    <row r="140" spans="1:20" x14ac:dyDescent="0.3">
      <c r="A140" s="16" t="s">
        <v>95</v>
      </c>
      <c r="B140" s="16">
        <v>2017</v>
      </c>
      <c r="C140" s="16">
        <v>53.77</v>
      </c>
      <c r="D140" s="17">
        <v>87.468900000000005</v>
      </c>
      <c r="E140" s="16">
        <v>2.69</v>
      </c>
      <c r="F140" s="17">
        <v>9.6573147330321891</v>
      </c>
      <c r="G140" s="17">
        <v>46085.017473903499</v>
      </c>
      <c r="H140" s="17">
        <v>3.3033700359103899</v>
      </c>
      <c r="I140" s="17">
        <v>31.043500000000002</v>
      </c>
      <c r="J140" s="16">
        <v>2.7278699999999998</v>
      </c>
      <c r="K140" s="17">
        <v>20.041</v>
      </c>
      <c r="L140" s="17">
        <v>129.983</v>
      </c>
      <c r="M140" s="17">
        <v>9.4220000000000006</v>
      </c>
      <c r="N140" s="16"/>
      <c r="O140" s="16"/>
      <c r="P140" s="16"/>
      <c r="Q140" s="16"/>
      <c r="R140" s="16"/>
      <c r="S140" s="16"/>
      <c r="T140" s="16"/>
    </row>
    <row r="141" spans="1:20" x14ac:dyDescent="0.3">
      <c r="A141" s="16" t="s">
        <v>95</v>
      </c>
      <c r="B141" s="16">
        <v>2018</v>
      </c>
      <c r="C141" s="16">
        <v>55.051000000000002</v>
      </c>
      <c r="D141" s="17">
        <v>88.89</v>
      </c>
      <c r="E141" s="16">
        <v>2.6</v>
      </c>
      <c r="F141" s="17">
        <v>9.0176535503215192</v>
      </c>
      <c r="G141" s="17">
        <v>49654.249703532798</v>
      </c>
      <c r="H141" s="17">
        <v>1.19297759742292</v>
      </c>
      <c r="I141" s="17">
        <v>31.491700000000002</v>
      </c>
      <c r="J141" s="16">
        <v>2.7574900000000002</v>
      </c>
      <c r="K141" s="17">
        <v>16.957999999999998</v>
      </c>
      <c r="L141" s="17">
        <v>129.62899999999999</v>
      </c>
      <c r="M141" s="17">
        <v>8.2810000000000006</v>
      </c>
      <c r="N141" s="16"/>
      <c r="O141" s="16"/>
      <c r="P141" s="16"/>
      <c r="Q141" s="16"/>
      <c r="R141" s="16"/>
      <c r="S141" s="16"/>
      <c r="T141" s="16"/>
    </row>
    <row r="142" spans="1:20" x14ac:dyDescent="0.3">
      <c r="A142" s="16" t="s">
        <v>95</v>
      </c>
      <c r="B142" s="16">
        <v>2019</v>
      </c>
      <c r="C142" s="16">
        <v>55.375999999999998</v>
      </c>
      <c r="D142" s="17">
        <v>89.607399999999998</v>
      </c>
      <c r="E142" s="16">
        <v>2.58</v>
      </c>
      <c r="F142" s="17">
        <v>9.2147012059361799</v>
      </c>
      <c r="G142" s="17">
        <v>48358.180777369998</v>
      </c>
      <c r="H142" s="17">
        <v>1.3497384574173701</v>
      </c>
      <c r="I142" s="17">
        <v>32.543999999999997</v>
      </c>
      <c r="J142" s="16">
        <v>2.7996099999999999</v>
      </c>
      <c r="K142" s="17">
        <v>17.128</v>
      </c>
      <c r="L142" s="17">
        <v>129.488</v>
      </c>
      <c r="M142" s="17">
        <v>7.1970000000000001</v>
      </c>
      <c r="N142" s="16"/>
      <c r="O142" s="16"/>
      <c r="P142" s="16"/>
      <c r="Q142" s="16"/>
      <c r="R142" s="16"/>
      <c r="S142" s="16"/>
      <c r="T142" s="16"/>
    </row>
    <row r="143" spans="1:20" x14ac:dyDescent="0.3">
      <c r="A143" s="16" t="s">
        <v>95</v>
      </c>
      <c r="B143" s="16">
        <v>2020</v>
      </c>
      <c r="C143" s="16">
        <v>54.41</v>
      </c>
      <c r="D143" s="17">
        <v>92.170299999999997</v>
      </c>
      <c r="E143" s="16">
        <v>2.5</v>
      </c>
      <c r="F143" s="17">
        <v>9.9823002528583409</v>
      </c>
      <c r="G143" s="17">
        <v>48828.684686279899</v>
      </c>
      <c r="H143" s="17">
        <v>-2.4910360553570698</v>
      </c>
      <c r="I143" s="17">
        <v>33.383899999999997</v>
      </c>
      <c r="J143" s="16">
        <v>2.9124300000000001</v>
      </c>
      <c r="K143" s="17">
        <v>21.193000000000001</v>
      </c>
      <c r="L143" s="17">
        <v>128.761</v>
      </c>
      <c r="M143" s="17">
        <v>8.91</v>
      </c>
      <c r="N143" s="16"/>
      <c r="O143" s="16"/>
      <c r="P143" s="16"/>
      <c r="Q143" s="16"/>
      <c r="R143" s="16"/>
      <c r="S143" s="16"/>
      <c r="T143" s="16"/>
    </row>
    <row r="144" spans="1:20" x14ac:dyDescent="0.3">
      <c r="A144" s="16" t="s">
        <v>95</v>
      </c>
      <c r="B144" s="16">
        <v>2021</v>
      </c>
      <c r="C144" s="16">
        <v>55.811</v>
      </c>
      <c r="D144" s="17">
        <v>92.808099999999996</v>
      </c>
      <c r="E144" s="16">
        <v>2.56</v>
      </c>
      <c r="F144" s="17">
        <v>10.293753853625301</v>
      </c>
      <c r="G144" s="17">
        <v>53099.135140014703</v>
      </c>
      <c r="H144" s="17">
        <v>2.67634641498897</v>
      </c>
      <c r="I144" s="17">
        <v>33.639699999999998</v>
      </c>
      <c r="J144" s="16">
        <v>2.9885000000000002</v>
      </c>
      <c r="K144" s="17">
        <v>17.058</v>
      </c>
      <c r="L144" s="17">
        <v>129.036</v>
      </c>
      <c r="M144" s="17">
        <v>7.976</v>
      </c>
      <c r="N144" s="16"/>
      <c r="O144" s="16"/>
      <c r="P144" s="16"/>
      <c r="Q144" s="16"/>
      <c r="R144" s="16"/>
      <c r="S144" s="16"/>
      <c r="T144" s="16"/>
    </row>
    <row r="145" spans="1:20" x14ac:dyDescent="0.3">
      <c r="A145" s="16" t="s">
        <v>95</v>
      </c>
      <c r="B145" s="16">
        <v>2022</v>
      </c>
      <c r="C145" s="16">
        <v>57.021000000000001</v>
      </c>
      <c r="D145" s="17">
        <v>92.988799999999998</v>
      </c>
      <c r="E145" s="16">
        <v>2.6</v>
      </c>
      <c r="F145" s="17">
        <v>9.6239284366748397</v>
      </c>
      <c r="G145" s="17">
        <v>50440.560224973997</v>
      </c>
      <c r="H145" s="17">
        <v>0.76304191276352595</v>
      </c>
      <c r="I145" s="17">
        <v>34.295200000000001</v>
      </c>
      <c r="J145" s="16">
        <v>2.96469</v>
      </c>
      <c r="K145" s="17">
        <v>14.138</v>
      </c>
      <c r="L145" s="17">
        <v>128.023</v>
      </c>
      <c r="M145" s="17">
        <v>7.1180000000000003</v>
      </c>
      <c r="N145" s="16"/>
      <c r="O145" s="16"/>
      <c r="P145" s="16"/>
      <c r="Q145" s="16"/>
      <c r="R145" s="16"/>
      <c r="S145" s="16"/>
      <c r="T145" s="16"/>
    </row>
    <row r="146" spans="1:20" x14ac:dyDescent="0.3">
      <c r="A146" s="22" t="s">
        <v>94</v>
      </c>
      <c r="B146" s="22">
        <v>2007</v>
      </c>
      <c r="C146" s="22">
        <f t="array" ref="C146:C161">TRANSPOSE(EMPLOYrate!D18:S18)</f>
        <v>47.984999999999999</v>
      </c>
      <c r="D146" s="23" cm="1">
        <f t="array" ref="D146:D161">TRANSPOSE(ictuse!D12:S12)</f>
        <v>35.880000000000003</v>
      </c>
      <c r="E146" s="22">
        <f t="array" ref="E146:E161">TRANSPOSE(ictgoods!D12:S12)</f>
        <v>2.39</v>
      </c>
      <c r="F146" s="23" cm="1">
        <f t="array" ref="F146:F161">TRANSPOSE(hightechmanu!C13:R13)</f>
        <v>9.1144681712794</v>
      </c>
      <c r="G146" s="23" cm="1">
        <f t="array" ref="G146:G161">TRANSPOSE(gdppercapita!D12:S12)</f>
        <v>28440.7625328955</v>
      </c>
      <c r="H146" s="23" cm="1">
        <f t="array" ref="H146:H161">TRANSPOSE(gdpannual!D4:S4)</f>
        <v>3.5068697663945798</v>
      </c>
      <c r="I146" s="23" cm="1">
        <f t="array" ref="I146:I161">TRANSPOSE(fixedbroadband!D18:S18)</f>
        <v>9.2114700000000003</v>
      </c>
      <c r="J146" s="22" cm="1">
        <f t="array" ref="J146:J161">TRANSPOSE(rdexpediture!D22:S22)</f>
        <v>0.57655000000000001</v>
      </c>
      <c r="K146" s="23" cm="1">
        <f t="array" ref="K146:K161">TRANSPOSE(YOUTH_EMPLOY!D13:S13)</f>
        <v>22.731000000000002</v>
      </c>
      <c r="L146" s="23">
        <f t="array" ref="L146:L161">TRANSPOSE(mobile_celular!D21:S21)</f>
        <v>111.309</v>
      </c>
      <c r="M146" s="23">
        <f t="array" ref="M146:M161">TRANSPOSE(unemployEAD!C13:R13)</f>
        <v>9.7309999999999999</v>
      </c>
      <c r="N146" s="22"/>
      <c r="O146" s="22"/>
      <c r="P146" s="22"/>
      <c r="Q146" s="22"/>
      <c r="R146" s="22"/>
      <c r="S146" s="22"/>
      <c r="T146" s="22"/>
    </row>
    <row r="147" spans="1:20" x14ac:dyDescent="0.3">
      <c r="A147" s="22" t="s">
        <v>94</v>
      </c>
      <c r="B147" s="22">
        <v>2008</v>
      </c>
      <c r="C147" s="22">
        <v>48.435000000000002</v>
      </c>
      <c r="D147" s="23">
        <v>38.200000000000003</v>
      </c>
      <c r="E147" s="22">
        <v>2.21</v>
      </c>
      <c r="F147" s="23">
        <v>10.8506674946219</v>
      </c>
      <c r="G147" s="23">
        <v>31695.833109220901</v>
      </c>
      <c r="H147" s="23">
        <v>5.7474023820077401E-2</v>
      </c>
      <c r="I147" s="23">
        <v>13.604900000000001</v>
      </c>
      <c r="J147" s="22">
        <v>0.66183000000000003</v>
      </c>
      <c r="K147" s="23">
        <v>21.61</v>
      </c>
      <c r="L147" s="23">
        <v>124.578</v>
      </c>
      <c r="M147" s="23">
        <v>8.8559999999999999</v>
      </c>
      <c r="N147" s="22"/>
      <c r="O147" s="22"/>
      <c r="P147" s="22"/>
      <c r="Q147" s="22"/>
      <c r="R147" s="22"/>
      <c r="S147" s="22"/>
      <c r="T147" s="22"/>
    </row>
    <row r="148" spans="1:20" x14ac:dyDescent="0.3">
      <c r="A148" s="22" t="s">
        <v>94</v>
      </c>
      <c r="B148" s="22">
        <v>2009</v>
      </c>
      <c r="C148" s="22">
        <v>47.826999999999998</v>
      </c>
      <c r="D148" s="23">
        <v>42.4</v>
      </c>
      <c r="E148" s="22">
        <v>2.09</v>
      </c>
      <c r="F148" s="23">
        <v>12.227178424289299</v>
      </c>
      <c r="G148" s="23">
        <v>29425.457320026198</v>
      </c>
      <c r="H148" s="23">
        <v>-4.1192760671501096</v>
      </c>
      <c r="I148" s="23">
        <v>17.2544</v>
      </c>
      <c r="J148" s="22">
        <v>0.62556999999999996</v>
      </c>
      <c r="K148" s="23">
        <v>25.469000000000001</v>
      </c>
      <c r="L148" s="23">
        <v>119.68899999999999</v>
      </c>
      <c r="M148" s="23">
        <v>11.019</v>
      </c>
      <c r="N148" s="22"/>
      <c r="O148" s="22"/>
      <c r="P148" s="22"/>
      <c r="Q148" s="22"/>
      <c r="R148" s="22"/>
      <c r="S148" s="22"/>
      <c r="T148" s="22"/>
    </row>
    <row r="149" spans="1:20" x14ac:dyDescent="0.3">
      <c r="A149" s="22" t="s">
        <v>94</v>
      </c>
      <c r="B149" s="22">
        <v>2010</v>
      </c>
      <c r="C149" s="22">
        <v>46.261000000000003</v>
      </c>
      <c r="D149" s="23">
        <v>44.4</v>
      </c>
      <c r="E149" s="22">
        <v>1.99</v>
      </c>
      <c r="F149" s="23">
        <v>11.5956558548605</v>
      </c>
      <c r="G149" s="23">
        <v>26653.0488008625</v>
      </c>
      <c r="H149" s="23">
        <v>-5.6937412158002996</v>
      </c>
      <c r="I149" s="23">
        <v>20.249199999999998</v>
      </c>
      <c r="J149" s="22">
        <v>0.60346999999999995</v>
      </c>
      <c r="K149" s="23">
        <v>33.005000000000003</v>
      </c>
      <c r="L149" s="23">
        <v>110.5</v>
      </c>
      <c r="M149" s="23">
        <v>14.606999999999999</v>
      </c>
      <c r="N149" s="22"/>
      <c r="O149" s="22"/>
      <c r="P149" s="22"/>
      <c r="Q149" s="22"/>
      <c r="R149" s="22"/>
      <c r="S149" s="22"/>
      <c r="T149" s="22"/>
    </row>
    <row r="150" spans="1:20" x14ac:dyDescent="0.3">
      <c r="A150" s="22" t="s">
        <v>94</v>
      </c>
      <c r="B150" s="22">
        <v>2011</v>
      </c>
      <c r="C150" s="22">
        <v>42.841999999999999</v>
      </c>
      <c r="D150" s="23">
        <v>51.65</v>
      </c>
      <c r="E150" s="22">
        <v>1.97</v>
      </c>
      <c r="F150" s="23">
        <v>11.2505862199211</v>
      </c>
      <c r="G150" s="23">
        <v>25504.7866510124</v>
      </c>
      <c r="H150" s="23">
        <v>-9.8767787530024194</v>
      </c>
      <c r="I150" s="23">
        <v>22.1831</v>
      </c>
      <c r="J150" s="22">
        <v>0.68425999999999998</v>
      </c>
      <c r="K150" s="23">
        <v>44.951000000000001</v>
      </c>
      <c r="L150" s="23">
        <v>109.17400000000001</v>
      </c>
      <c r="M150" s="23">
        <v>20.423999999999999</v>
      </c>
      <c r="N150" s="22"/>
      <c r="O150" s="22"/>
      <c r="P150" s="22"/>
      <c r="Q150" s="22"/>
      <c r="R150" s="22"/>
      <c r="S150" s="22"/>
      <c r="T150" s="22"/>
    </row>
    <row r="151" spans="1:20" x14ac:dyDescent="0.3">
      <c r="A151" s="22" t="s">
        <v>94</v>
      </c>
      <c r="B151" s="22">
        <v>2012</v>
      </c>
      <c r="C151" s="22">
        <v>39.113</v>
      </c>
      <c r="D151" s="23">
        <v>55.07</v>
      </c>
      <c r="E151" s="22">
        <v>1.65</v>
      </c>
      <c r="F151" s="23">
        <v>10.1435850577283</v>
      </c>
      <c r="G151" s="23">
        <v>21624.346052551002</v>
      </c>
      <c r="H151" s="23">
        <v>-8.3311342109999202</v>
      </c>
      <c r="I151" s="23">
        <v>24.342500000000001</v>
      </c>
      <c r="J151" s="22">
        <v>0.71004999999999996</v>
      </c>
      <c r="K151" s="23">
        <v>55.655999999999999</v>
      </c>
      <c r="L151" s="23">
        <v>120.926</v>
      </c>
      <c r="M151" s="23">
        <v>27.89</v>
      </c>
      <c r="N151" s="22"/>
      <c r="O151" s="22"/>
      <c r="P151" s="22"/>
      <c r="Q151" s="22"/>
      <c r="R151" s="22"/>
      <c r="S151" s="22"/>
      <c r="T151" s="22"/>
    </row>
    <row r="152" spans="1:20" x14ac:dyDescent="0.3">
      <c r="A152" s="22" t="s">
        <v>94</v>
      </c>
      <c r="B152" s="22">
        <v>2013</v>
      </c>
      <c r="C152" s="22">
        <v>37.398000000000003</v>
      </c>
      <c r="D152" s="23">
        <v>59.866300000000003</v>
      </c>
      <c r="E152" s="22">
        <v>1.36</v>
      </c>
      <c r="F152" s="23">
        <v>8.4789318813978607</v>
      </c>
      <c r="G152" s="23">
        <v>21573.344976280401</v>
      </c>
      <c r="H152" s="23">
        <v>-2.2721169988802301</v>
      </c>
      <c r="I152" s="23">
        <v>26.561900000000001</v>
      </c>
      <c r="J152" s="22">
        <v>0.81477999999999995</v>
      </c>
      <c r="K152" s="23">
        <v>58.491</v>
      </c>
      <c r="L152" s="23">
        <v>114.143</v>
      </c>
      <c r="M152" s="23">
        <v>31.251000000000001</v>
      </c>
      <c r="N152" s="22"/>
      <c r="O152" s="22"/>
      <c r="P152" s="22"/>
      <c r="Q152" s="22"/>
      <c r="R152" s="22"/>
      <c r="S152" s="22"/>
      <c r="T152" s="22"/>
    </row>
    <row r="153" spans="1:20" x14ac:dyDescent="0.3">
      <c r="A153" s="22" t="s">
        <v>94</v>
      </c>
      <c r="B153" s="22">
        <v>2014</v>
      </c>
      <c r="C153" s="22">
        <v>37.765000000000001</v>
      </c>
      <c r="D153" s="23">
        <v>63.207299999999996</v>
      </c>
      <c r="E153" s="22">
        <v>2.41</v>
      </c>
      <c r="F153" s="23">
        <v>11.5060312558604</v>
      </c>
      <c r="G153" s="23">
        <v>21474.725712389099</v>
      </c>
      <c r="H153" s="23">
        <v>0.79222506096283496</v>
      </c>
      <c r="I153" s="23">
        <v>28.972899999999999</v>
      </c>
      <c r="J153" s="22">
        <v>0.83997999999999995</v>
      </c>
      <c r="K153" s="23">
        <v>52.645000000000003</v>
      </c>
      <c r="L153" s="23">
        <v>111.488</v>
      </c>
      <c r="M153" s="23">
        <v>30.091000000000001</v>
      </c>
      <c r="N153" s="22"/>
      <c r="O153" s="22"/>
      <c r="P153" s="22"/>
      <c r="Q153" s="22"/>
      <c r="R153" s="22"/>
      <c r="S153" s="22"/>
      <c r="T153" s="22"/>
    </row>
    <row r="154" spans="1:20" x14ac:dyDescent="0.3">
      <c r="A154" s="22" t="s">
        <v>94</v>
      </c>
      <c r="B154" s="22">
        <v>2015</v>
      </c>
      <c r="C154" s="22">
        <v>38.725999999999999</v>
      </c>
      <c r="D154" s="23">
        <v>66.834999999999994</v>
      </c>
      <c r="E154" s="22">
        <v>3.07</v>
      </c>
      <c r="F154" s="23">
        <v>12.9218253082767</v>
      </c>
      <c r="G154" s="23">
        <v>17980.729823813701</v>
      </c>
      <c r="H154" s="23">
        <v>-0.22830189217285099</v>
      </c>
      <c r="I154" s="23">
        <v>31.781400000000001</v>
      </c>
      <c r="J154" s="22">
        <v>0.96604999999999996</v>
      </c>
      <c r="K154" s="23">
        <v>49.731000000000002</v>
      </c>
      <c r="L154" s="23">
        <v>116.133</v>
      </c>
      <c r="M154" s="23">
        <v>27.638999999999999</v>
      </c>
      <c r="N154" s="22"/>
      <c r="O154" s="22"/>
      <c r="P154" s="22"/>
      <c r="Q154" s="22"/>
      <c r="R154" s="22"/>
      <c r="S154" s="22"/>
      <c r="T154" s="22"/>
    </row>
    <row r="155" spans="1:20" x14ac:dyDescent="0.3">
      <c r="A155" s="22" t="s">
        <v>94</v>
      </c>
      <c r="B155" s="22">
        <v>2016</v>
      </c>
      <c r="C155" s="22">
        <v>39.515999999999998</v>
      </c>
      <c r="D155" s="23">
        <v>69.087900000000005</v>
      </c>
      <c r="E155" s="22">
        <v>3.49</v>
      </c>
      <c r="F155" s="23">
        <v>13.727008117583299</v>
      </c>
      <c r="G155" s="23">
        <v>17919.242637704701</v>
      </c>
      <c r="H155" s="23">
        <v>-3.1794767841205301E-2</v>
      </c>
      <c r="I155" s="23">
        <v>33.5486</v>
      </c>
      <c r="J155" s="22">
        <v>1.00529</v>
      </c>
      <c r="K155" s="23">
        <v>47.222999999999999</v>
      </c>
      <c r="L155" s="23">
        <v>116.36499999999999</v>
      </c>
      <c r="M155" s="23">
        <v>26.108000000000001</v>
      </c>
      <c r="N155" s="22"/>
      <c r="O155" s="22"/>
      <c r="P155" s="22"/>
      <c r="Q155" s="22"/>
      <c r="R155" s="22"/>
      <c r="S155" s="22"/>
      <c r="T155" s="22"/>
    </row>
    <row r="156" spans="1:20" x14ac:dyDescent="0.3">
      <c r="A156" s="22" t="s">
        <v>94</v>
      </c>
      <c r="B156" s="22">
        <v>2017</v>
      </c>
      <c r="C156" s="22">
        <v>40.555999999999997</v>
      </c>
      <c r="D156" s="23">
        <v>69.893000000000001</v>
      </c>
      <c r="E156" s="22">
        <v>2.78</v>
      </c>
      <c r="F156" s="23">
        <v>12.1148895809545</v>
      </c>
      <c r="G156" s="23">
        <v>18631.993012929299</v>
      </c>
      <c r="H156" s="23">
        <v>1.4731247270235099</v>
      </c>
      <c r="I156" s="23">
        <v>35.135100000000001</v>
      </c>
      <c r="J156" s="22">
        <v>1.15228</v>
      </c>
      <c r="K156" s="23">
        <v>43.392000000000003</v>
      </c>
      <c r="L156" s="23">
        <v>120.306</v>
      </c>
      <c r="M156" s="23">
        <v>23.844000000000001</v>
      </c>
      <c r="N156" s="22"/>
      <c r="O156" s="22"/>
      <c r="P156" s="22"/>
      <c r="Q156" s="22"/>
      <c r="R156" s="22"/>
      <c r="S156" s="22"/>
      <c r="T156" s="22"/>
    </row>
    <row r="157" spans="1:20" x14ac:dyDescent="0.3">
      <c r="A157" s="22" t="s">
        <v>94</v>
      </c>
      <c r="B157" s="22">
        <v>2018</v>
      </c>
      <c r="C157" s="22">
        <v>41.581000000000003</v>
      </c>
      <c r="D157" s="23">
        <v>72.238399999999999</v>
      </c>
      <c r="E157" s="22">
        <v>3.11</v>
      </c>
      <c r="F157" s="23">
        <v>12.955188948643601</v>
      </c>
      <c r="G157" s="23">
        <v>19873.401523877099</v>
      </c>
      <c r="H157" s="23">
        <v>2.0646720789240902</v>
      </c>
      <c r="I157" s="23">
        <v>36.920299999999997</v>
      </c>
      <c r="J157" s="22">
        <v>1.2137100000000001</v>
      </c>
      <c r="K157" s="23">
        <v>40.011000000000003</v>
      </c>
      <c r="L157" s="23">
        <v>113.41800000000001</v>
      </c>
      <c r="M157" s="23">
        <v>21.605</v>
      </c>
      <c r="N157" s="22"/>
      <c r="O157" s="22"/>
      <c r="P157" s="22"/>
      <c r="Q157" s="22"/>
      <c r="R157" s="22"/>
      <c r="S157" s="22"/>
      <c r="T157" s="22"/>
    </row>
    <row r="158" spans="1:20" x14ac:dyDescent="0.3">
      <c r="A158" s="22" t="s">
        <v>94</v>
      </c>
      <c r="B158" s="22">
        <v>2019</v>
      </c>
      <c r="C158" s="22">
        <v>42.656999999999996</v>
      </c>
      <c r="D158" s="23">
        <v>75.671199999999999</v>
      </c>
      <c r="E158" s="22">
        <v>3.11</v>
      </c>
      <c r="F158" s="23">
        <v>12.5222555558252</v>
      </c>
      <c r="G158" s="23">
        <v>19335.3602002968</v>
      </c>
      <c r="H158" s="23">
        <v>2.2771806533480801</v>
      </c>
      <c r="I158" s="23">
        <v>38.3566</v>
      </c>
      <c r="J158" s="22">
        <v>1.2749900000000001</v>
      </c>
      <c r="K158" s="23">
        <v>34.753999999999998</v>
      </c>
      <c r="L158" s="23">
        <v>110.855</v>
      </c>
      <c r="M158" s="23">
        <v>19.233000000000001</v>
      </c>
      <c r="N158" s="22"/>
      <c r="O158" s="22"/>
      <c r="P158" s="22"/>
      <c r="Q158" s="22"/>
      <c r="R158" s="22"/>
      <c r="S158" s="22"/>
      <c r="T158" s="22"/>
    </row>
    <row r="159" spans="1:20" x14ac:dyDescent="0.3">
      <c r="A159" s="22" t="s">
        <v>94</v>
      </c>
      <c r="B159" s="22">
        <v>2020</v>
      </c>
      <c r="C159" s="22">
        <v>42.462000000000003</v>
      </c>
      <c r="D159" s="23">
        <v>78.115799999999993</v>
      </c>
      <c r="E159" s="22">
        <v>3.51</v>
      </c>
      <c r="F159" s="23">
        <v>13.251866971442301</v>
      </c>
      <c r="G159" s="23">
        <v>17886.733165236001</v>
      </c>
      <c r="H159" s="23">
        <v>-9.1962314972697694</v>
      </c>
      <c r="I159" s="23">
        <v>39.787599999999998</v>
      </c>
      <c r="J159" s="22">
        <v>1.51149</v>
      </c>
      <c r="K159" s="23">
        <v>33.74</v>
      </c>
      <c r="L159" s="23">
        <v>106.67</v>
      </c>
      <c r="M159" s="23">
        <v>18.181999999999999</v>
      </c>
      <c r="N159" s="22"/>
      <c r="O159" s="22"/>
      <c r="P159" s="22"/>
      <c r="Q159" s="22"/>
      <c r="R159" s="22"/>
      <c r="S159" s="22"/>
      <c r="T159" s="22"/>
    </row>
    <row r="160" spans="1:20" x14ac:dyDescent="0.3">
      <c r="A160" s="22" t="s">
        <v>94</v>
      </c>
      <c r="B160" s="22">
        <v>2021</v>
      </c>
      <c r="C160" s="22">
        <v>43.33</v>
      </c>
      <c r="D160" s="23">
        <v>78.494299999999996</v>
      </c>
      <c r="E160" s="22">
        <v>3.04</v>
      </c>
      <c r="F160" s="23">
        <v>12.2848681524393</v>
      </c>
      <c r="G160" s="23">
        <v>20654.7001960815</v>
      </c>
      <c r="H160" s="23">
        <v>8.6544978600212996</v>
      </c>
      <c r="I160" s="23">
        <v>41.921300000000002</v>
      </c>
      <c r="J160" s="22">
        <v>1.4578199999999999</v>
      </c>
      <c r="K160" s="23">
        <v>35.39</v>
      </c>
      <c r="L160" s="23">
        <v>108.64400000000001</v>
      </c>
      <c r="M160" s="23">
        <v>16.986000000000001</v>
      </c>
      <c r="N160" s="22"/>
      <c r="O160" s="22"/>
      <c r="P160" s="22"/>
      <c r="Q160" s="22"/>
      <c r="R160" s="22"/>
      <c r="S160" s="22"/>
      <c r="T160" s="22"/>
    </row>
    <row r="161" spans="1:20" x14ac:dyDescent="0.3">
      <c r="A161" s="22" t="s">
        <v>94</v>
      </c>
      <c r="B161" s="22">
        <v>2022</v>
      </c>
      <c r="C161" s="22">
        <v>45.753999999999998</v>
      </c>
      <c r="D161" s="23">
        <v>83.170699999999997</v>
      </c>
      <c r="E161" s="22">
        <v>2.82</v>
      </c>
      <c r="F161" s="23">
        <v>14.4708651762207</v>
      </c>
      <c r="G161" s="23">
        <v>20886.524308762801</v>
      </c>
      <c r="H161" s="23">
        <v>5.5219858058940696</v>
      </c>
      <c r="I161" s="23">
        <v>42.923000000000002</v>
      </c>
      <c r="J161" s="22">
        <v>1.4859599999999999</v>
      </c>
      <c r="K161" s="23">
        <v>31.29</v>
      </c>
      <c r="L161" s="23">
        <v>109.027</v>
      </c>
      <c r="M161" s="23">
        <v>14.506</v>
      </c>
      <c r="N161" s="22"/>
      <c r="O161" s="22"/>
      <c r="P161" s="22"/>
      <c r="Q161" s="22"/>
      <c r="R161" s="22"/>
      <c r="S161" s="22"/>
      <c r="T161" s="22"/>
    </row>
    <row r="162" spans="1:20" x14ac:dyDescent="0.3">
      <c r="A162" s="24" t="s">
        <v>93</v>
      </c>
      <c r="B162" s="24">
        <v>2007</v>
      </c>
      <c r="C162" s="24">
        <f t="array" ref="C162:C177">TRANSPOSE(EMPLOYrate!D28:S28)</f>
        <v>47.683999999999997</v>
      </c>
      <c r="D162" s="25" cm="1">
        <f t="array" ref="D162:D177">TRANSPOSE(ictuse!D13:S13)</f>
        <v>41.44</v>
      </c>
      <c r="E162" s="24">
        <f t="array" ref="E162:E177">TRANSPOSE(ictgoods!D10:S10)</f>
        <v>2.83</v>
      </c>
      <c r="F162" s="25" cm="1">
        <f t="array" ref="F162:F177">TRANSPOSE(hightechmanu!C14:R14)</f>
        <v>9.5004866476955296</v>
      </c>
      <c r="G162" s="25" cm="1">
        <f t="array" ref="G162:G177">TRANSPOSE(gdppercapita!D6:S6)</f>
        <v>13755.832107329101</v>
      </c>
      <c r="H162" s="25" cm="1">
        <f t="array" ref="H162:H177">TRANSPOSE(gdpannual!D20:S20)</f>
        <v>5.0492763524812796</v>
      </c>
      <c r="I162" s="25" cm="1">
        <f t="array" ref="I162:I177">TRANSPOSE(fixedbroadband!D5:S5)</f>
        <v>8.9678900000000006</v>
      </c>
      <c r="J162" s="24" cm="1">
        <f t="array" ref="J162:J177">TRANSPOSE(rdexpediture!D16:S16)</f>
        <v>0.78298999999999996</v>
      </c>
      <c r="K162" s="25" cm="1">
        <f t="array" ref="K162:K177">TRANSPOSE(YOUTH_EMPLOY!D14:S14)</f>
        <v>25.123000000000001</v>
      </c>
      <c r="L162" s="25">
        <f t="array" ref="L162:L177">TRANSPOSE(mobile_celular!D5:S5)</f>
        <v>116.651</v>
      </c>
      <c r="M162" s="25">
        <f t="array" ref="M162:M177">TRANSPOSE(unemployEAD!C14:R214)</f>
        <v>10.131</v>
      </c>
      <c r="N162" s="24"/>
      <c r="O162" s="24"/>
      <c r="P162" s="24"/>
      <c r="Q162" s="24"/>
      <c r="R162" s="24"/>
      <c r="S162" s="24"/>
      <c r="T162" s="24"/>
    </row>
    <row r="163" spans="1:20" x14ac:dyDescent="0.3">
      <c r="A163" s="24" t="s">
        <v>93</v>
      </c>
      <c r="B163" s="24">
        <v>2008</v>
      </c>
      <c r="C163" s="24">
        <v>48.587000000000003</v>
      </c>
      <c r="D163" s="25">
        <v>44.24</v>
      </c>
      <c r="E163" s="24">
        <v>2.69</v>
      </c>
      <c r="F163" s="25">
        <v>9.5191300754172197</v>
      </c>
      <c r="G163" s="25">
        <v>15888.0606949392</v>
      </c>
      <c r="H163" s="25">
        <v>1.97287006723875</v>
      </c>
      <c r="I163" s="25">
        <v>12.2372</v>
      </c>
      <c r="J163" s="24">
        <v>0.87568000000000001</v>
      </c>
      <c r="K163" s="25">
        <v>23.678000000000001</v>
      </c>
      <c r="L163" s="25">
        <v>105.566</v>
      </c>
      <c r="M163" s="25">
        <v>9.1709999999999994</v>
      </c>
      <c r="N163" s="24"/>
      <c r="O163" s="24"/>
      <c r="P163" s="24"/>
      <c r="Q163" s="24"/>
      <c r="R163" s="24"/>
      <c r="S163" s="24"/>
      <c r="T163" s="24"/>
    </row>
    <row r="164" spans="1:20" x14ac:dyDescent="0.3">
      <c r="A164" s="24" t="s">
        <v>93</v>
      </c>
      <c r="B164" s="24">
        <v>2009</v>
      </c>
      <c r="C164" s="24">
        <v>48.228000000000002</v>
      </c>
      <c r="D164" s="25">
        <v>50.58</v>
      </c>
      <c r="E164" s="24">
        <v>2.6</v>
      </c>
      <c r="F164" s="25">
        <v>11.308457380009299</v>
      </c>
      <c r="G164" s="25">
        <v>14474.6519774193</v>
      </c>
      <c r="H164" s="25">
        <v>-6.8123121757257303</v>
      </c>
      <c r="I164" s="25">
        <v>16.6419</v>
      </c>
      <c r="J164" s="24">
        <v>0.83304</v>
      </c>
      <c r="K164" s="25">
        <v>25.213000000000001</v>
      </c>
      <c r="L164" s="25">
        <v>108.456</v>
      </c>
      <c r="M164" s="25">
        <v>9.9540000000000006</v>
      </c>
      <c r="N164" s="24"/>
      <c r="O164" s="24"/>
      <c r="P164" s="24"/>
      <c r="Q164" s="24"/>
      <c r="R164" s="24"/>
      <c r="S164" s="24"/>
      <c r="T164" s="24"/>
    </row>
    <row r="165" spans="1:20" x14ac:dyDescent="0.3">
      <c r="A165" s="24" t="s">
        <v>93</v>
      </c>
      <c r="B165" s="24">
        <v>2010</v>
      </c>
      <c r="C165" s="24">
        <v>46.473999999999997</v>
      </c>
      <c r="D165" s="25">
        <v>56.55</v>
      </c>
      <c r="E165" s="24">
        <v>2.1</v>
      </c>
      <c r="F165" s="25">
        <v>10.182112128121</v>
      </c>
      <c r="G165" s="25">
        <v>13729.765496502099</v>
      </c>
      <c r="H165" s="25">
        <v>-1.33604672354972</v>
      </c>
      <c r="I165" s="25">
        <v>19.48</v>
      </c>
      <c r="J165" s="24">
        <v>0.73055000000000003</v>
      </c>
      <c r="K165" s="25">
        <v>32.354999999999997</v>
      </c>
      <c r="L165" s="25">
        <v>114.58199999999999</v>
      </c>
      <c r="M165" s="25">
        <v>12.371</v>
      </c>
      <c r="N165" s="24"/>
      <c r="O165" s="24"/>
      <c r="P165" s="24"/>
      <c r="Q165" s="24"/>
      <c r="R165" s="24"/>
      <c r="S165" s="24"/>
      <c r="T165" s="24"/>
    </row>
    <row r="166" spans="1:20" x14ac:dyDescent="0.3">
      <c r="A166" s="24" t="s">
        <v>93</v>
      </c>
      <c r="B166" s="24">
        <v>2011</v>
      </c>
      <c r="C166" s="24">
        <v>44.747</v>
      </c>
      <c r="D166" s="25">
        <v>57.79</v>
      </c>
      <c r="E166" s="24">
        <v>1.55</v>
      </c>
      <c r="F166" s="25">
        <v>8.6911549126651</v>
      </c>
      <c r="G166" s="25">
        <v>14691.5582962919</v>
      </c>
      <c r="H166" s="25">
        <v>-0.110906722446628</v>
      </c>
      <c r="I166" s="25">
        <v>20.8566</v>
      </c>
      <c r="J166" s="24">
        <v>0.73646</v>
      </c>
      <c r="K166" s="25">
        <v>36.665999999999997</v>
      </c>
      <c r="L166" s="25">
        <v>119.49</v>
      </c>
      <c r="M166" s="25">
        <v>14.176</v>
      </c>
      <c r="N166" s="24"/>
      <c r="O166" s="24"/>
      <c r="P166" s="24"/>
      <c r="Q166" s="24"/>
      <c r="R166" s="24"/>
      <c r="S166" s="24"/>
      <c r="T166" s="24"/>
    </row>
    <row r="167" spans="1:20" x14ac:dyDescent="0.3">
      <c r="A167" s="24" t="s">
        <v>93</v>
      </c>
      <c r="B167" s="24">
        <v>2012</v>
      </c>
      <c r="C167" s="24">
        <v>43.393999999999998</v>
      </c>
      <c r="D167" s="25">
        <v>61.94</v>
      </c>
      <c r="E167" s="24">
        <v>1.89</v>
      </c>
      <c r="F167" s="25">
        <v>11.8120561647369</v>
      </c>
      <c r="G167" s="25">
        <v>13507.780526099101</v>
      </c>
      <c r="H167" s="25">
        <v>-2.2374336011976999</v>
      </c>
      <c r="I167" s="25">
        <v>21.581900000000001</v>
      </c>
      <c r="J167" s="24">
        <v>0.73724999999999996</v>
      </c>
      <c r="K167" s="25">
        <v>42.118000000000002</v>
      </c>
      <c r="L167" s="25">
        <v>116.71899999999999</v>
      </c>
      <c r="M167" s="25">
        <v>17.251999999999999</v>
      </c>
      <c r="N167" s="24"/>
      <c r="O167" s="24"/>
      <c r="P167" s="24"/>
      <c r="Q167" s="24"/>
      <c r="R167" s="24"/>
      <c r="S167" s="24"/>
      <c r="T167" s="24"/>
    </row>
    <row r="168" spans="1:20" x14ac:dyDescent="0.3">
      <c r="A168" s="24" t="s">
        <v>93</v>
      </c>
      <c r="B168" s="24">
        <v>2013</v>
      </c>
      <c r="C168" s="24">
        <v>42.304000000000002</v>
      </c>
      <c r="D168" s="25">
        <v>66.747600000000006</v>
      </c>
      <c r="E168" s="24">
        <v>2.5499999999999998</v>
      </c>
      <c r="F168" s="25">
        <v>12.493497088882</v>
      </c>
      <c r="G168" s="25">
        <v>14134.9474982888</v>
      </c>
      <c r="H168" s="25">
        <v>-0.13364573653060999</v>
      </c>
      <c r="I168" s="25">
        <v>22.504300000000001</v>
      </c>
      <c r="J168" s="24">
        <v>0.79513</v>
      </c>
      <c r="K168" s="25">
        <v>50.087000000000003</v>
      </c>
      <c r="L168" s="25">
        <v>111.282</v>
      </c>
      <c r="M168" s="25">
        <v>18.648</v>
      </c>
      <c r="N168" s="24"/>
      <c r="O168" s="24"/>
      <c r="P168" s="24"/>
      <c r="Q168" s="24"/>
      <c r="R168" s="24"/>
      <c r="S168" s="24"/>
      <c r="T168" s="24"/>
    </row>
    <row r="169" spans="1:20" x14ac:dyDescent="0.3">
      <c r="A169" s="24" t="s">
        <v>93</v>
      </c>
      <c r="B169" s="24">
        <v>2014</v>
      </c>
      <c r="C169" s="24">
        <v>43.462000000000003</v>
      </c>
      <c r="D169" s="25">
        <v>68.567899999999995</v>
      </c>
      <c r="E169" s="24">
        <v>2.0099999999999998</v>
      </c>
      <c r="F169" s="25">
        <v>10.43905219168</v>
      </c>
      <c r="G169" s="25">
        <v>14186.7295493275</v>
      </c>
      <c r="H169" s="25">
        <v>-0.55769291361458695</v>
      </c>
      <c r="I169" s="25">
        <v>23.331900000000001</v>
      </c>
      <c r="J169" s="24">
        <v>0.76902000000000004</v>
      </c>
      <c r="K169" s="25">
        <v>45.600999999999999</v>
      </c>
      <c r="L169" s="25">
        <v>105.732</v>
      </c>
      <c r="M169" s="25">
        <v>18.68</v>
      </c>
      <c r="N169" s="24"/>
      <c r="O169" s="24"/>
      <c r="P169" s="24"/>
      <c r="Q169" s="24"/>
      <c r="R169" s="24"/>
      <c r="S169" s="24"/>
      <c r="T169" s="24"/>
    </row>
    <row r="170" spans="1:20" x14ac:dyDescent="0.3">
      <c r="A170" s="24" t="s">
        <v>93</v>
      </c>
      <c r="B170" s="24">
        <v>2015</v>
      </c>
      <c r="C170" s="24">
        <v>44.33</v>
      </c>
      <c r="D170" s="25">
        <v>69.844999999999999</v>
      </c>
      <c r="E170" s="24">
        <v>2.4500000000000002</v>
      </c>
      <c r="F170" s="25">
        <v>10.7066240086763</v>
      </c>
      <c r="G170" s="25">
        <v>12283.784062005199</v>
      </c>
      <c r="H170" s="25">
        <v>2.31998692708386</v>
      </c>
      <c r="I170" s="25">
        <v>23.572600000000001</v>
      </c>
      <c r="J170" s="24">
        <v>0.82377999999999996</v>
      </c>
      <c r="K170" s="25">
        <v>42.454999999999998</v>
      </c>
      <c r="L170" s="25">
        <v>105.544</v>
      </c>
      <c r="M170" s="25">
        <v>18.042000000000002</v>
      </c>
      <c r="N170" s="24"/>
      <c r="O170" s="24"/>
      <c r="P170" s="24"/>
      <c r="Q170" s="24"/>
      <c r="R170" s="24"/>
      <c r="S170" s="24"/>
      <c r="T170" s="24"/>
    </row>
    <row r="171" spans="1:20" x14ac:dyDescent="0.3">
      <c r="A171" s="24" t="s">
        <v>93</v>
      </c>
      <c r="B171" s="24">
        <v>2016</v>
      </c>
      <c r="C171" s="24">
        <v>44.695</v>
      </c>
      <c r="D171" s="25">
        <v>72.697299999999998</v>
      </c>
      <c r="E171" s="24">
        <v>2.7</v>
      </c>
      <c r="F171" s="25">
        <v>14.401699447488101</v>
      </c>
      <c r="G171" s="25">
        <v>12820.165389300801</v>
      </c>
      <c r="H171" s="25">
        <v>3.46646114288178</v>
      </c>
      <c r="I171" s="25">
        <v>25.234100000000002</v>
      </c>
      <c r="J171" s="24">
        <v>0.84433000000000002</v>
      </c>
      <c r="K171" s="25">
        <v>31.408000000000001</v>
      </c>
      <c r="L171" s="25">
        <v>106.718</v>
      </c>
      <c r="M171" s="25">
        <v>14.586</v>
      </c>
      <c r="N171" s="24"/>
      <c r="O171" s="24"/>
      <c r="P171" s="24"/>
      <c r="Q171" s="24"/>
      <c r="R171" s="24"/>
      <c r="S171" s="24"/>
      <c r="T171" s="24"/>
    </row>
    <row r="172" spans="1:20" x14ac:dyDescent="0.3">
      <c r="A172" s="24" t="s">
        <v>93</v>
      </c>
      <c r="B172" s="24">
        <v>2017</v>
      </c>
      <c r="C172" s="24">
        <v>45.811</v>
      </c>
      <c r="D172" s="25">
        <v>67.096199999999996</v>
      </c>
      <c r="E172" s="24">
        <v>2.52</v>
      </c>
      <c r="F172" s="25">
        <v>8.7381013601639506</v>
      </c>
      <c r="G172" s="25">
        <v>13901.7878144678</v>
      </c>
      <c r="H172" s="25">
        <v>3.28396321643012</v>
      </c>
      <c r="I172" s="25">
        <v>26.865100000000002</v>
      </c>
      <c r="J172" s="24">
        <v>0.84150000000000003</v>
      </c>
      <c r="K172" s="25">
        <v>27.516999999999999</v>
      </c>
      <c r="L172" s="25">
        <v>105.795</v>
      </c>
      <c r="M172" s="25">
        <v>11.691000000000001</v>
      </c>
      <c r="N172" s="24"/>
      <c r="O172" s="24"/>
      <c r="P172" s="24"/>
      <c r="Q172" s="24"/>
      <c r="R172" s="24"/>
      <c r="S172" s="24"/>
      <c r="T172" s="24"/>
    </row>
    <row r="173" spans="1:20" x14ac:dyDescent="0.3">
      <c r="A173" s="24" t="s">
        <v>93</v>
      </c>
      <c r="B173" s="24">
        <v>2018</v>
      </c>
      <c r="C173" s="24">
        <v>46.780999999999999</v>
      </c>
      <c r="D173" s="25">
        <v>75.294600000000003</v>
      </c>
      <c r="E173" s="24">
        <v>2.33</v>
      </c>
      <c r="F173" s="25">
        <v>8.8375310150213</v>
      </c>
      <c r="G173" s="25">
        <v>15460.366959549099</v>
      </c>
      <c r="H173" s="25">
        <v>2.9110759340784198</v>
      </c>
      <c r="I173" s="25">
        <v>28.015599999999999</v>
      </c>
      <c r="J173" s="24">
        <v>0.94311999999999996</v>
      </c>
      <c r="K173" s="25">
        <v>23.896999999999998</v>
      </c>
      <c r="L173" s="25">
        <v>109.03400000000001</v>
      </c>
      <c r="M173" s="25">
        <v>9.1349999999999998</v>
      </c>
      <c r="N173" s="24"/>
      <c r="O173" s="24"/>
      <c r="P173" s="24"/>
      <c r="Q173" s="24"/>
      <c r="R173" s="24"/>
      <c r="S173" s="24"/>
      <c r="T173" s="24"/>
    </row>
    <row r="174" spans="1:20" x14ac:dyDescent="0.3">
      <c r="A174" s="24" t="s">
        <v>93</v>
      </c>
      <c r="B174" s="24">
        <v>2019</v>
      </c>
      <c r="C174" s="24">
        <v>47.618000000000002</v>
      </c>
      <c r="D174" s="25">
        <v>79.079800000000006</v>
      </c>
      <c r="E174" s="24">
        <v>2.33</v>
      </c>
      <c r="F174" s="25">
        <v>8.2892708353639595</v>
      </c>
      <c r="G174" s="25">
        <v>15563.598729502901</v>
      </c>
      <c r="H174" s="25">
        <v>3.10152683894853</v>
      </c>
      <c r="I174" s="25">
        <v>28.968299999999999</v>
      </c>
      <c r="J174" s="24">
        <v>1.0702700000000001</v>
      </c>
      <c r="K174" s="25">
        <v>16.728999999999999</v>
      </c>
      <c r="L174" s="25">
        <v>110.494</v>
      </c>
      <c r="M174" s="25">
        <v>6.9059999999999997</v>
      </c>
      <c r="N174" s="24"/>
      <c r="O174" s="24"/>
      <c r="P174" s="24"/>
      <c r="Q174" s="24"/>
      <c r="R174" s="24"/>
      <c r="S174" s="24"/>
      <c r="T174" s="24"/>
    </row>
    <row r="175" spans="1:20" x14ac:dyDescent="0.3">
      <c r="A175" s="24" t="s">
        <v>93</v>
      </c>
      <c r="B175" s="24">
        <v>2020</v>
      </c>
      <c r="C175" s="24">
        <v>47.292999999999999</v>
      </c>
      <c r="D175" s="25">
        <v>78.320899999999995</v>
      </c>
      <c r="E175" s="24">
        <v>2.46</v>
      </c>
      <c r="F175" s="25">
        <v>9.6800410329938007</v>
      </c>
      <c r="G175" s="25">
        <v>14807.560854326501</v>
      </c>
      <c r="H175" s="25">
        <v>-8.3108640150118802</v>
      </c>
      <c r="I175" s="25">
        <v>26.0745</v>
      </c>
      <c r="J175" s="24">
        <v>1.2298899999999999</v>
      </c>
      <c r="K175" s="25">
        <v>21.222000000000001</v>
      </c>
      <c r="L175" s="25">
        <v>110.666</v>
      </c>
      <c r="M175" s="25">
        <v>8.1999999999999993</v>
      </c>
      <c r="N175" s="24"/>
      <c r="O175" s="24"/>
      <c r="P175" s="24"/>
      <c r="Q175" s="24"/>
      <c r="R175" s="24"/>
      <c r="S175" s="24"/>
      <c r="T175" s="24"/>
    </row>
    <row r="176" spans="1:20" x14ac:dyDescent="0.3">
      <c r="A176" s="24" t="s">
        <v>93</v>
      </c>
      <c r="B176" s="24">
        <v>2021</v>
      </c>
      <c r="C176" s="24">
        <v>48.305999999999997</v>
      </c>
      <c r="D176" s="25">
        <v>81.254000000000005</v>
      </c>
      <c r="E176" s="24">
        <v>2.14</v>
      </c>
      <c r="F176" s="25">
        <v>9.6067335141227392</v>
      </c>
      <c r="G176" s="25">
        <v>17788.786581665801</v>
      </c>
      <c r="H176" s="25">
        <v>12.6322190351024</v>
      </c>
      <c r="I176" s="25">
        <v>26.715800000000002</v>
      </c>
      <c r="J176" s="24">
        <v>1.2312399999999999</v>
      </c>
      <c r="K176" s="25">
        <v>21.995999999999999</v>
      </c>
      <c r="L176" s="25">
        <v>112.169</v>
      </c>
      <c r="M176" s="25">
        <v>8.4499999999999993</v>
      </c>
      <c r="N176" s="24"/>
      <c r="O176" s="24"/>
      <c r="P176" s="24"/>
      <c r="Q176" s="24"/>
      <c r="R176" s="24"/>
      <c r="S176" s="24"/>
      <c r="T176" s="24"/>
    </row>
    <row r="177" spans="1:20" x14ac:dyDescent="0.3">
      <c r="A177" s="24" t="s">
        <v>93</v>
      </c>
      <c r="B177" s="24">
        <v>2022</v>
      </c>
      <c r="C177" s="24">
        <v>49.223999999999997</v>
      </c>
      <c r="D177" s="25">
        <v>82.071600000000004</v>
      </c>
      <c r="E177" s="24">
        <v>1.6</v>
      </c>
      <c r="F177" s="25">
        <v>12.063854042863699</v>
      </c>
      <c r="G177" s="25">
        <v>18465.541442036301</v>
      </c>
      <c r="H177" s="25">
        <v>7.2944534364266698</v>
      </c>
      <c r="I177" s="25">
        <v>27.660699999999999</v>
      </c>
      <c r="J177" s="24">
        <v>1.40323</v>
      </c>
      <c r="K177" s="25">
        <v>18.082999999999998</v>
      </c>
      <c r="L177" s="25">
        <v>114.67700000000001</v>
      </c>
      <c r="M177" s="25">
        <v>7.1849999999999996</v>
      </c>
      <c r="N177" s="24"/>
      <c r="O177" s="24"/>
      <c r="P177" s="24"/>
      <c r="Q177" s="24"/>
      <c r="R177" s="24"/>
      <c r="S177" s="24"/>
      <c r="T177" s="24"/>
    </row>
    <row r="178" spans="1:20" x14ac:dyDescent="0.3">
      <c r="A178" s="10" t="s">
        <v>92</v>
      </c>
      <c r="B178" s="10">
        <v>2007</v>
      </c>
      <c r="C178" s="10">
        <f t="array" ref="C178:C193">TRANSPOSE(EMPLOYrate!D8:S8)</f>
        <v>45.79</v>
      </c>
      <c r="D178" s="11" cm="1">
        <f t="array" ref="D178:D193">TRANSPOSE(ictuse!D16:S16)</f>
        <v>40.79</v>
      </c>
      <c r="E178" s="10">
        <f t="array" ref="E178:E193">TRANSPOSE(ictgoods!D7:S7)</f>
        <v>2.23</v>
      </c>
      <c r="F178" s="11" cm="1">
        <f t="array" ref="F178:F193">TRANSPOSE(hightechmanu!C17:R17)</f>
        <v>6.7329630013147801</v>
      </c>
      <c r="G178" s="11" cm="1">
        <f t="array" ref="G178:G193">TRANSPOSE(gdppercapita!D16:S16)</f>
        <v>37826.175455482196</v>
      </c>
      <c r="H178" s="11" cm="1">
        <f t="array" ref="H178:H193">TRANSPOSE(gdpannual!D27:S27)</f>
        <v>1.4622920528929</v>
      </c>
      <c r="I178" s="11" cm="1">
        <f t="array" ref="I178:I193">TRANSPOSE(fixedbroadband!D23:S23)</f>
        <v>17.124600000000001</v>
      </c>
      <c r="J178" s="10" cm="1">
        <f t="array" ref="J178:J193">TRANSPOSE(rdexpediture!D8:S8)</f>
        <v>1.1289899999999999</v>
      </c>
      <c r="K178" s="11" cm="1">
        <f t="array" ref="K178:K193">TRANSPOSE(YOUTH_EMPLOY!D17:S17)</f>
        <v>20.384</v>
      </c>
      <c r="L178" s="11">
        <f t="array" ref="L178:L193">TRANSPOSE(mobile_celular!D6:S6)</f>
        <v>151.92500000000001</v>
      </c>
      <c r="M178" s="11">
        <f t="array" ref="M178:M193">TRANSPOSE(unemployEAD!C17:R17)</f>
        <v>5.593</v>
      </c>
      <c r="N178" s="10"/>
      <c r="O178" s="10"/>
      <c r="P178" s="10"/>
      <c r="Q178" s="10"/>
      <c r="R178" s="10"/>
      <c r="S178" s="10"/>
      <c r="T178" s="10"/>
    </row>
    <row r="179" spans="1:20" x14ac:dyDescent="0.3">
      <c r="A179" s="10" t="s">
        <v>92</v>
      </c>
      <c r="B179" s="10">
        <v>2008</v>
      </c>
      <c r="C179" s="10">
        <v>45.8</v>
      </c>
      <c r="D179" s="11">
        <v>44.53</v>
      </c>
      <c r="E179" s="10">
        <v>1.94</v>
      </c>
      <c r="F179" s="11">
        <v>6.6778570695395203</v>
      </c>
      <c r="G179" s="11">
        <v>40828.579558093697</v>
      </c>
      <c r="H179" s="11">
        <v>-1.0231385117709599</v>
      </c>
      <c r="I179" s="11">
        <v>18.932099999999998</v>
      </c>
      <c r="J179" s="10">
        <v>1.1597200000000001</v>
      </c>
      <c r="K179" s="11">
        <v>21.216999999999999</v>
      </c>
      <c r="L179" s="11">
        <v>151.67599999999999</v>
      </c>
      <c r="M179" s="11">
        <v>6.12</v>
      </c>
      <c r="N179" s="10"/>
      <c r="O179" s="10"/>
      <c r="P179" s="10"/>
      <c r="Q179" s="10"/>
      <c r="R179" s="10"/>
      <c r="S179" s="10"/>
      <c r="T179" s="10"/>
    </row>
    <row r="180" spans="1:20" x14ac:dyDescent="0.3">
      <c r="A180" s="10" t="s">
        <v>92</v>
      </c>
      <c r="B180" s="10">
        <v>2009</v>
      </c>
      <c r="C180" s="10">
        <v>44.72</v>
      </c>
      <c r="D180" s="11">
        <v>48.83</v>
      </c>
      <c r="E180" s="10">
        <v>2.02</v>
      </c>
      <c r="F180" s="11">
        <v>7.8002874942140199</v>
      </c>
      <c r="G180" s="11">
        <v>37099.6133958219</v>
      </c>
      <c r="H180" s="11">
        <v>-5.3051540123399104</v>
      </c>
      <c r="I180" s="11">
        <v>20.173200000000001</v>
      </c>
      <c r="J180" s="10">
        <v>1.21787</v>
      </c>
      <c r="K180" s="11">
        <v>25.352</v>
      </c>
      <c r="L180" s="11">
        <v>150.29499999999999</v>
      </c>
      <c r="M180" s="11">
        <v>7.2450000000000001</v>
      </c>
      <c r="N180" s="10"/>
      <c r="O180" s="10"/>
      <c r="P180" s="10"/>
      <c r="Q180" s="10"/>
      <c r="R180" s="10"/>
      <c r="S180" s="10"/>
      <c r="T180" s="10"/>
    </row>
    <row r="181" spans="1:20" x14ac:dyDescent="0.3">
      <c r="A181" s="10" t="s">
        <v>92</v>
      </c>
      <c r="B181" s="10">
        <v>2010</v>
      </c>
      <c r="C181" s="10">
        <v>44.173000000000002</v>
      </c>
      <c r="D181" s="11">
        <v>53.68</v>
      </c>
      <c r="E181" s="10">
        <v>2.15</v>
      </c>
      <c r="F181" s="11">
        <v>8.01620176122678</v>
      </c>
      <c r="G181" s="11">
        <v>35856.862548553901</v>
      </c>
      <c r="H181" s="11">
        <v>1.529105732471</v>
      </c>
      <c r="I181" s="11">
        <v>21.770499999999998</v>
      </c>
      <c r="J181" s="10">
        <v>1.21797</v>
      </c>
      <c r="K181" s="11">
        <v>27.91</v>
      </c>
      <c r="L181" s="11">
        <v>155.684</v>
      </c>
      <c r="M181" s="11">
        <v>7.8780000000000001</v>
      </c>
      <c r="N181" s="10"/>
      <c r="O181" s="10"/>
      <c r="P181" s="10"/>
      <c r="Q181" s="10"/>
      <c r="R181" s="10"/>
      <c r="S181" s="10"/>
      <c r="T181" s="10"/>
    </row>
    <row r="182" spans="1:20" x14ac:dyDescent="0.3">
      <c r="A182" s="10" t="s">
        <v>92</v>
      </c>
      <c r="B182" s="10">
        <v>2011</v>
      </c>
      <c r="C182" s="10">
        <v>44.118000000000002</v>
      </c>
      <c r="D182" s="11">
        <v>54.39</v>
      </c>
      <c r="E182" s="10">
        <v>2.1</v>
      </c>
      <c r="F182" s="11">
        <v>7.9715282570022499</v>
      </c>
      <c r="G182" s="11">
        <v>38432.374282001801</v>
      </c>
      <c r="H182" s="11">
        <v>0.69546315444017603</v>
      </c>
      <c r="I182" s="11">
        <v>22.393899999999999</v>
      </c>
      <c r="J182" s="10">
        <v>1.2015499999999999</v>
      </c>
      <c r="K182" s="11">
        <v>29.145</v>
      </c>
      <c r="L182" s="11">
        <v>159.09299999999999</v>
      </c>
      <c r="M182" s="11">
        <v>7.8129999999999997</v>
      </c>
      <c r="N182" s="10"/>
      <c r="O182" s="10"/>
      <c r="P182" s="10"/>
      <c r="Q182" s="10"/>
      <c r="R182" s="10"/>
      <c r="S182" s="10"/>
      <c r="T182" s="10"/>
    </row>
    <row r="183" spans="1:20" x14ac:dyDescent="0.3">
      <c r="A183" s="10" t="s">
        <v>92</v>
      </c>
      <c r="B183" s="10">
        <v>2012</v>
      </c>
      <c r="C183" s="10">
        <v>43.851999999999997</v>
      </c>
      <c r="D183" s="11">
        <v>55.83</v>
      </c>
      <c r="E183" s="10">
        <v>1.86</v>
      </c>
      <c r="F183" s="11">
        <v>7.5950114017607104</v>
      </c>
      <c r="G183" s="11">
        <v>34854.3949441964</v>
      </c>
      <c r="H183" s="11">
        <v>-3.1252387728299502</v>
      </c>
      <c r="I183" s="11">
        <v>22.737500000000001</v>
      </c>
      <c r="J183" s="10">
        <v>1.2621899999999999</v>
      </c>
      <c r="K183" s="11">
        <v>35.293999999999997</v>
      </c>
      <c r="L183" s="11">
        <v>160.559</v>
      </c>
      <c r="M183" s="11">
        <v>10.013</v>
      </c>
      <c r="N183" s="10"/>
      <c r="O183" s="10"/>
      <c r="P183" s="10"/>
      <c r="Q183" s="10"/>
      <c r="R183" s="10"/>
      <c r="S183" s="10"/>
      <c r="T183" s="10"/>
    </row>
    <row r="184" spans="1:20" x14ac:dyDescent="0.3">
      <c r="A184" s="10" t="s">
        <v>92</v>
      </c>
      <c r="B184" s="10">
        <v>2013</v>
      </c>
      <c r="C184" s="10">
        <v>42.865000000000002</v>
      </c>
      <c r="D184" s="11">
        <v>58.459299999999999</v>
      </c>
      <c r="E184" s="10">
        <v>1.75</v>
      </c>
      <c r="F184" s="11">
        <v>7.7720714528151502</v>
      </c>
      <c r="G184" s="11">
        <v>35701.6746002375</v>
      </c>
      <c r="H184" s="11">
        <v>-1.8180251074979099</v>
      </c>
      <c r="I184" s="11">
        <v>23.103200000000001</v>
      </c>
      <c r="J184" s="10">
        <v>1.3010699999999999</v>
      </c>
      <c r="K184" s="11">
        <v>40.021999999999998</v>
      </c>
      <c r="L184" s="11">
        <v>159.69800000000001</v>
      </c>
      <c r="M184" s="11">
        <v>11.420999999999999</v>
      </c>
      <c r="N184" s="10"/>
      <c r="O184" s="10"/>
      <c r="P184" s="10"/>
      <c r="Q184" s="10"/>
      <c r="R184" s="10"/>
      <c r="S184" s="10"/>
      <c r="T184" s="10"/>
    </row>
    <row r="185" spans="1:20" x14ac:dyDescent="0.3">
      <c r="A185" s="10" t="s">
        <v>92</v>
      </c>
      <c r="B185" s="10">
        <v>2014</v>
      </c>
      <c r="C185" s="10">
        <v>42.835999999999999</v>
      </c>
      <c r="D185" s="11">
        <v>55.638500000000001</v>
      </c>
      <c r="E185" s="10">
        <v>1.67</v>
      </c>
      <c r="F185" s="11">
        <v>7.7369138171046199</v>
      </c>
      <c r="G185" s="11">
        <v>36028.349402234802</v>
      </c>
      <c r="H185" s="11">
        <v>-1.3876173045446101E-3</v>
      </c>
      <c r="I185" s="11">
        <v>23.708400000000001</v>
      </c>
      <c r="J185" s="10">
        <v>1.3384</v>
      </c>
      <c r="K185" s="11">
        <v>42.668999999999997</v>
      </c>
      <c r="L185" s="11">
        <v>148.21700000000001</v>
      </c>
      <c r="M185" s="11">
        <v>11.914</v>
      </c>
      <c r="N185" s="10"/>
      <c r="O185" s="10"/>
      <c r="P185" s="10"/>
      <c r="Q185" s="10"/>
      <c r="R185" s="10"/>
      <c r="S185" s="10"/>
      <c r="T185" s="10"/>
    </row>
    <row r="186" spans="1:20" x14ac:dyDescent="0.3">
      <c r="A186" s="10" t="s">
        <v>92</v>
      </c>
      <c r="B186" s="10">
        <v>2015</v>
      </c>
      <c r="C186" s="10">
        <v>43.142000000000003</v>
      </c>
      <c r="D186" s="11">
        <v>58.1417</v>
      </c>
      <c r="E186" s="10">
        <v>1.9</v>
      </c>
      <c r="F186" s="11">
        <v>8.15204658018137</v>
      </c>
      <c r="G186" s="11">
        <v>30639.882975143199</v>
      </c>
      <c r="H186" s="11">
        <v>0.88566763524080705</v>
      </c>
      <c r="I186" s="11">
        <v>24.597799999999999</v>
      </c>
      <c r="J186" s="10">
        <v>1.3385</v>
      </c>
      <c r="K186" s="11">
        <v>40.316000000000003</v>
      </c>
      <c r="L186" s="11">
        <v>144.76400000000001</v>
      </c>
      <c r="M186" s="11">
        <v>11.388</v>
      </c>
      <c r="N186" s="10"/>
      <c r="O186" s="10"/>
      <c r="P186" s="10"/>
      <c r="Q186" s="10"/>
      <c r="R186" s="10"/>
      <c r="S186" s="10"/>
      <c r="T186" s="10"/>
    </row>
    <row r="187" spans="1:20" x14ac:dyDescent="0.3">
      <c r="A187" s="10" t="s">
        <v>92</v>
      </c>
      <c r="B187" s="10">
        <v>2016</v>
      </c>
      <c r="C187" s="10">
        <v>43.715000000000003</v>
      </c>
      <c r="D187" s="11">
        <v>61.324300000000001</v>
      </c>
      <c r="E187" s="10">
        <v>1.86</v>
      </c>
      <c r="F187" s="11">
        <v>8.2907461696454998</v>
      </c>
      <c r="G187" s="11">
        <v>31391.569289810799</v>
      </c>
      <c r="H187" s="11">
        <v>1.23622108511661</v>
      </c>
      <c r="I187" s="11">
        <v>25.733699999999999</v>
      </c>
      <c r="J187" s="10">
        <v>1.36642</v>
      </c>
      <c r="K187" s="11">
        <v>37.758000000000003</v>
      </c>
      <c r="L187" s="11">
        <v>142.12700000000001</v>
      </c>
      <c r="M187" s="11">
        <v>11.077999999999999</v>
      </c>
      <c r="N187" s="10"/>
      <c r="O187" s="10"/>
      <c r="P187" s="10"/>
      <c r="Q187" s="10"/>
      <c r="R187" s="10"/>
      <c r="S187" s="10"/>
      <c r="T187" s="10"/>
    </row>
    <row r="188" spans="1:20" x14ac:dyDescent="0.3">
      <c r="A188" s="10" t="s">
        <v>92</v>
      </c>
      <c r="B188" s="10">
        <v>2017</v>
      </c>
      <c r="C188" s="10">
        <v>44.228000000000002</v>
      </c>
      <c r="D188" s="11">
        <v>63.077300000000001</v>
      </c>
      <c r="E188" s="10">
        <v>1.89</v>
      </c>
      <c r="F188" s="11">
        <v>7.8052686500985899</v>
      </c>
      <c r="G188" s="11">
        <v>32844.115660604002</v>
      </c>
      <c r="H188" s="11">
        <v>1.6036999529410101</v>
      </c>
      <c r="I188" s="11">
        <v>27.465299999999999</v>
      </c>
      <c r="J188" s="10">
        <v>1.3701300000000001</v>
      </c>
      <c r="K188" s="11">
        <v>34.725999999999999</v>
      </c>
      <c r="L188" s="11">
        <v>138.88200000000001</v>
      </c>
      <c r="M188" s="11">
        <v>10.465999999999999</v>
      </c>
      <c r="N188" s="10"/>
      <c r="O188" s="10"/>
      <c r="P188" s="10"/>
      <c r="Q188" s="10"/>
      <c r="R188" s="10"/>
      <c r="S188" s="10"/>
      <c r="T188" s="10"/>
    </row>
    <row r="189" spans="1:20" x14ac:dyDescent="0.3">
      <c r="A189" s="10" t="s">
        <v>92</v>
      </c>
      <c r="B189" s="10">
        <v>2018</v>
      </c>
      <c r="C189" s="10">
        <v>44.572000000000003</v>
      </c>
      <c r="D189" s="11">
        <v>74.387200000000007</v>
      </c>
      <c r="E189" s="10">
        <v>1.99</v>
      </c>
      <c r="F189" s="11">
        <v>7.4765588581392102</v>
      </c>
      <c r="G189" s="11">
        <v>34904.108192383297</v>
      </c>
      <c r="H189" s="11">
        <v>0.82664671234411402</v>
      </c>
      <c r="I189" s="11">
        <v>28.4649</v>
      </c>
      <c r="J189" s="10">
        <v>1.4244300000000001</v>
      </c>
      <c r="K189" s="11">
        <v>32.167999999999999</v>
      </c>
      <c r="L189" s="11">
        <v>138.26499999999999</v>
      </c>
      <c r="M189" s="11">
        <v>10.115</v>
      </c>
      <c r="N189" s="10"/>
      <c r="O189" s="10"/>
      <c r="P189" s="10"/>
      <c r="Q189" s="10"/>
      <c r="R189" s="10"/>
      <c r="S189" s="10"/>
      <c r="T189" s="10"/>
    </row>
    <row r="190" spans="1:20" x14ac:dyDescent="0.3">
      <c r="A190" s="10" t="s">
        <v>92</v>
      </c>
      <c r="B190" s="10">
        <v>2019</v>
      </c>
      <c r="C190" s="10">
        <v>44.895000000000003</v>
      </c>
      <c r="D190" s="11">
        <v>67.850700000000003</v>
      </c>
      <c r="E190" s="10">
        <v>1.97</v>
      </c>
      <c r="F190" s="11">
        <v>7.75802459594121</v>
      </c>
      <c r="G190" s="11">
        <v>33812.788724867904</v>
      </c>
      <c r="H190" s="11">
        <v>0.42916253378034203</v>
      </c>
      <c r="I190" s="11">
        <v>29.054500000000001</v>
      </c>
      <c r="J190" s="10">
        <v>1.4615899999999999</v>
      </c>
      <c r="K190" s="11">
        <v>29.152000000000001</v>
      </c>
      <c r="L190" s="11">
        <v>132.18100000000001</v>
      </c>
      <c r="M190" s="11">
        <v>9.4369999999999994</v>
      </c>
      <c r="N190" s="10"/>
      <c r="O190" s="10"/>
      <c r="P190" s="10"/>
      <c r="Q190" s="10"/>
      <c r="R190" s="10"/>
      <c r="S190" s="10"/>
      <c r="T190" s="10"/>
    </row>
    <row r="191" spans="1:20" x14ac:dyDescent="0.3">
      <c r="A191" s="10" t="s">
        <v>92</v>
      </c>
      <c r="B191" s="10">
        <v>2020</v>
      </c>
      <c r="C191" s="10">
        <v>43.94</v>
      </c>
      <c r="D191" s="11">
        <v>70.483400000000003</v>
      </c>
      <c r="E191" s="10">
        <v>2.2000000000000002</v>
      </c>
      <c r="F191" s="11">
        <v>8.5872430129640005</v>
      </c>
      <c r="G191" s="11">
        <v>32091.486662136602</v>
      </c>
      <c r="H191" s="11">
        <v>-8.8682212218534406</v>
      </c>
      <c r="I191" s="11">
        <v>30.258600000000001</v>
      </c>
      <c r="J191" s="10">
        <v>1.5065999999999999</v>
      </c>
      <c r="K191" s="11">
        <v>29.39</v>
      </c>
      <c r="L191" s="11">
        <v>129.49</v>
      </c>
      <c r="M191" s="11">
        <v>8.7360000000000007</v>
      </c>
      <c r="N191" s="10"/>
      <c r="O191" s="10"/>
      <c r="P191" s="10"/>
      <c r="Q191" s="10"/>
      <c r="R191" s="10"/>
      <c r="S191" s="10"/>
      <c r="T191" s="10"/>
    </row>
    <row r="192" spans="1:20" x14ac:dyDescent="0.3">
      <c r="A192" s="10" t="s">
        <v>92</v>
      </c>
      <c r="B192" s="10">
        <v>2021</v>
      </c>
      <c r="C192" s="10">
        <v>43.96</v>
      </c>
      <c r="D192" s="11">
        <v>74.862300000000005</v>
      </c>
      <c r="E192" s="10">
        <v>2.0099999999999998</v>
      </c>
      <c r="F192" s="11">
        <v>7.7702456551625199</v>
      </c>
      <c r="G192" s="11">
        <v>36852.542541495</v>
      </c>
      <c r="H192" s="11">
        <v>8.9310621080005408</v>
      </c>
      <c r="I192" s="11">
        <v>31.285299999999999</v>
      </c>
      <c r="J192" s="10">
        <v>1.42658</v>
      </c>
      <c r="K192" s="11">
        <v>29.664999999999999</v>
      </c>
      <c r="L192" s="11">
        <v>130.78100000000001</v>
      </c>
      <c r="M192" s="11">
        <v>9.2029999999999994</v>
      </c>
      <c r="N192" s="10"/>
      <c r="O192" s="10"/>
      <c r="P192" s="10"/>
      <c r="Q192" s="10"/>
      <c r="R192" s="10"/>
      <c r="S192" s="10"/>
      <c r="T192" s="10"/>
    </row>
    <row r="193" spans="1:20" x14ac:dyDescent="0.3">
      <c r="A193" s="10" t="s">
        <v>92</v>
      </c>
      <c r="B193" s="10">
        <v>2022</v>
      </c>
      <c r="C193" s="10">
        <v>45.137999999999998</v>
      </c>
      <c r="D193" s="11">
        <v>85.060699999999997</v>
      </c>
      <c r="E193" s="10">
        <v>1.99</v>
      </c>
      <c r="F193" s="11">
        <v>9.1591623127102508</v>
      </c>
      <c r="G193" s="11">
        <v>35653.904210349501</v>
      </c>
      <c r="H193" s="11">
        <v>4.8211766991356404</v>
      </c>
      <c r="I193" s="11">
        <v>31.191400000000002</v>
      </c>
      <c r="J193" s="10">
        <v>1.3901399999999999</v>
      </c>
      <c r="K193" s="11">
        <v>23.704000000000001</v>
      </c>
      <c r="L193" s="11">
        <v>131.67400000000001</v>
      </c>
      <c r="M193" s="11">
        <v>7.7530000000000001</v>
      </c>
      <c r="N193" s="10"/>
      <c r="O193" s="10"/>
      <c r="P193" s="10"/>
      <c r="Q193" s="10"/>
      <c r="R193" s="10"/>
      <c r="S193" s="10"/>
      <c r="T193" s="10"/>
    </row>
    <row r="194" spans="1:20" x14ac:dyDescent="0.3">
      <c r="A194" s="7" t="s">
        <v>91</v>
      </c>
      <c r="B194" s="7">
        <v>2007</v>
      </c>
      <c r="C194" s="7">
        <f t="array" ref="C194:C209">TRANSPOSE(EMPLOYrate!D3:S3)</f>
        <v>63.307000000000002</v>
      </c>
      <c r="D194" s="8" cm="1">
        <f t="array" ref="D194:D209">TRANSPOSE(ictuse!D15:S15)</f>
        <v>61.158299999999997</v>
      </c>
      <c r="E194" s="7">
        <f t="array" ref="E194:E209">TRANSPOSE(ictgoods!D27:S27)</f>
        <v>18.36</v>
      </c>
      <c r="F194" s="8" cm="1">
        <f t="array" ref="F194:F209">TRANSPOSE(hightechmanu!C16:R16)</f>
        <v>32.001718610692699</v>
      </c>
      <c r="G194" s="8" cm="1">
        <f t="array" ref="G194:G209">TRANSPOSE(gdppercapita!D15:S15)</f>
        <v>61396.417461175901</v>
      </c>
      <c r="H194" s="8" cm="1">
        <f t="array" ref="H194:H209">TRANSPOSE(gdpannual!D2:S2)</f>
        <v>5.3101183089861301</v>
      </c>
      <c r="I194" s="8" cm="1">
        <f t="array" ref="I194:I209">TRANSPOSE(fixedbroadband!D4:S4)</f>
        <v>17.269100000000002</v>
      </c>
      <c r="J194" s="7" cm="1">
        <f t="array" ref="J194:J209">TRANSPOSE(rdexpediture!D14:S14)</f>
        <v>1.2340800000000001</v>
      </c>
      <c r="K194" s="8" cm="1">
        <f t="array" ref="K194:K209">TRANSPOSE(YOUTH_EMPLOY!D16:S16)</f>
        <v>9.1590000000000007</v>
      </c>
      <c r="L194" s="8">
        <f t="array" ref="L194:L209">TRANSPOSE(mobile_celular!D15:S15)</f>
        <v>113.13800000000001</v>
      </c>
      <c r="M194" s="8">
        <f t="array" ref="M194:M209">TRANSPOSE(unemployEAD!C16:R16)</f>
        <v>4.8929999999999998</v>
      </c>
      <c r="N194" s="7"/>
      <c r="O194" s="7"/>
      <c r="P194" s="7"/>
      <c r="Q194" s="7"/>
      <c r="R194" s="7"/>
      <c r="S194" s="7"/>
      <c r="T194" s="7"/>
    </row>
    <row r="195" spans="1:20" x14ac:dyDescent="0.3">
      <c r="A195" s="7" t="s">
        <v>91</v>
      </c>
      <c r="B195" s="7">
        <v>2008</v>
      </c>
      <c r="C195" s="7">
        <v>61.472000000000001</v>
      </c>
      <c r="D195" s="8">
        <v>65.34</v>
      </c>
      <c r="E195" s="7">
        <v>15.35</v>
      </c>
      <c r="F195" s="8">
        <v>30.190082082960899</v>
      </c>
      <c r="G195" s="8">
        <v>61353.1065629523</v>
      </c>
      <c r="H195" s="8">
        <v>-4.4840708104306204</v>
      </c>
      <c r="I195" s="8">
        <v>19.8672</v>
      </c>
      <c r="J195" s="7">
        <v>1.3912599999999999</v>
      </c>
      <c r="K195" s="8">
        <v>13.471</v>
      </c>
      <c r="L195" s="8">
        <v>112.53100000000001</v>
      </c>
      <c r="M195" s="8">
        <v>7.0629999999999997</v>
      </c>
      <c r="N195" s="7"/>
      <c r="O195" s="7"/>
      <c r="P195" s="7"/>
      <c r="Q195" s="7"/>
      <c r="R195" s="7"/>
      <c r="S195" s="7"/>
      <c r="T195" s="7"/>
    </row>
    <row r="196" spans="1:20" x14ac:dyDescent="0.3">
      <c r="A196" s="7" t="s">
        <v>91</v>
      </c>
      <c r="B196" s="7">
        <v>2009</v>
      </c>
      <c r="C196" s="7">
        <v>56.006</v>
      </c>
      <c r="D196" s="8">
        <v>67.38</v>
      </c>
      <c r="E196" s="7">
        <v>10.71</v>
      </c>
      <c r="F196" s="8">
        <v>27.164639804194</v>
      </c>
      <c r="G196" s="8">
        <v>52133.090616254303</v>
      </c>
      <c r="H196" s="8">
        <v>-5.0957827791384602</v>
      </c>
      <c r="I196" s="8">
        <v>21.535799999999998</v>
      </c>
      <c r="J196" s="7">
        <v>1.61371</v>
      </c>
      <c r="K196" s="8">
        <v>24.509</v>
      </c>
      <c r="L196" s="8">
        <v>103.76600000000001</v>
      </c>
      <c r="M196" s="8">
        <v>14.704000000000001</v>
      </c>
      <c r="N196" s="7"/>
      <c r="O196" s="7"/>
      <c r="P196" s="7"/>
      <c r="Q196" s="7"/>
      <c r="R196" s="7"/>
      <c r="S196" s="7"/>
      <c r="T196" s="7"/>
    </row>
    <row r="197" spans="1:20" x14ac:dyDescent="0.3">
      <c r="A197" s="7" t="s">
        <v>91</v>
      </c>
      <c r="B197" s="7">
        <v>2010</v>
      </c>
      <c r="C197" s="7">
        <v>53.502000000000002</v>
      </c>
      <c r="D197" s="8">
        <v>69.849999999999994</v>
      </c>
      <c r="E197" s="7">
        <v>6.89</v>
      </c>
      <c r="F197" s="8">
        <v>22.9145841859063</v>
      </c>
      <c r="G197" s="8">
        <v>48623.966642248699</v>
      </c>
      <c r="H197" s="8">
        <v>1.68297175486512</v>
      </c>
      <c r="I197" s="8">
        <v>22.3721</v>
      </c>
      <c r="J197" s="7">
        <v>1.59477</v>
      </c>
      <c r="K197" s="8">
        <v>28.157</v>
      </c>
      <c r="L197" s="8">
        <v>103.123</v>
      </c>
      <c r="M197" s="8">
        <v>17.268000000000001</v>
      </c>
      <c r="N197" s="7"/>
      <c r="O197" s="7"/>
      <c r="P197" s="7"/>
      <c r="Q197" s="7"/>
      <c r="R197" s="7"/>
      <c r="S197" s="7"/>
      <c r="T197" s="7"/>
    </row>
    <row r="198" spans="1:20" x14ac:dyDescent="0.3">
      <c r="A198" s="7" t="s">
        <v>91</v>
      </c>
      <c r="B198" s="7">
        <v>2011</v>
      </c>
      <c r="C198" s="7">
        <v>52.448999999999998</v>
      </c>
      <c r="D198" s="8">
        <v>74.89</v>
      </c>
      <c r="E198" s="7">
        <v>5.65</v>
      </c>
      <c r="F198" s="8">
        <v>24.9067720884766</v>
      </c>
      <c r="G198" s="8">
        <v>52613.854035568802</v>
      </c>
      <c r="H198" s="8">
        <v>1.60886648916944</v>
      </c>
      <c r="I198" s="8">
        <v>23.381399999999999</v>
      </c>
      <c r="J198" s="7">
        <v>1.5515300000000001</v>
      </c>
      <c r="K198" s="8">
        <v>29.579000000000001</v>
      </c>
      <c r="L198" s="8">
        <v>107.13500000000001</v>
      </c>
      <c r="M198" s="8">
        <v>18.588999999999999</v>
      </c>
      <c r="N198" s="7"/>
      <c r="O198" s="7"/>
      <c r="P198" s="7"/>
      <c r="Q198" s="7"/>
      <c r="R198" s="7"/>
      <c r="S198" s="7"/>
      <c r="T198" s="7"/>
    </row>
    <row r="199" spans="1:20" x14ac:dyDescent="0.3">
      <c r="A199" s="7" t="s">
        <v>91</v>
      </c>
      <c r="B199" s="7">
        <v>2012</v>
      </c>
      <c r="C199" s="7">
        <v>52.113999999999997</v>
      </c>
      <c r="D199" s="8">
        <v>76.92</v>
      </c>
      <c r="E199" s="7">
        <v>5.54</v>
      </c>
      <c r="F199" s="8">
        <v>25.586358694431699</v>
      </c>
      <c r="G199" s="8">
        <v>49335.840809955502</v>
      </c>
      <c r="H199" s="8">
        <v>-0.40502941658976899</v>
      </c>
      <c r="I199" s="8">
        <v>24.175000000000001</v>
      </c>
      <c r="J199" s="7">
        <v>1.5602799999999999</v>
      </c>
      <c r="K199" s="8">
        <v>30.792000000000002</v>
      </c>
      <c r="L199" s="8">
        <v>108.99</v>
      </c>
      <c r="M199" s="8">
        <v>18.951000000000001</v>
      </c>
      <c r="N199" s="7"/>
      <c r="O199" s="7"/>
      <c r="P199" s="7"/>
      <c r="Q199" s="7"/>
      <c r="R199" s="7"/>
      <c r="S199" s="7"/>
      <c r="T199" s="7"/>
    </row>
    <row r="200" spans="1:20" x14ac:dyDescent="0.3">
      <c r="A200" s="7" t="s">
        <v>91</v>
      </c>
      <c r="B200" s="7">
        <v>2013</v>
      </c>
      <c r="C200" s="7">
        <v>53.453000000000003</v>
      </c>
      <c r="D200" s="8">
        <v>78.247699999999995</v>
      </c>
      <c r="E200" s="7">
        <v>5.69</v>
      </c>
      <c r="F200" s="8">
        <v>24.983932815658299</v>
      </c>
      <c r="G200" s="8">
        <v>52537.610864869101</v>
      </c>
      <c r="H200" s="8">
        <v>2.1929375750029001</v>
      </c>
      <c r="I200" s="8">
        <v>25.714400000000001</v>
      </c>
      <c r="J200" s="7">
        <v>1.56908</v>
      </c>
      <c r="K200" s="8">
        <v>26.731999999999999</v>
      </c>
      <c r="L200" s="8">
        <v>105.538</v>
      </c>
      <c r="M200" s="8">
        <v>17.242999999999999</v>
      </c>
      <c r="N200" s="7"/>
      <c r="O200" s="7"/>
      <c r="P200" s="7"/>
      <c r="Q200" s="7"/>
      <c r="R200" s="7"/>
      <c r="S200" s="7"/>
      <c r="T200" s="7"/>
    </row>
    <row r="201" spans="1:20" x14ac:dyDescent="0.3">
      <c r="A201" s="7" t="s">
        <v>91</v>
      </c>
      <c r="B201" s="7">
        <v>2014</v>
      </c>
      <c r="C201" s="7">
        <v>54.430999999999997</v>
      </c>
      <c r="D201" s="8">
        <v>83.491699999999994</v>
      </c>
      <c r="E201" s="7">
        <v>5.56</v>
      </c>
      <c r="F201" s="8">
        <v>24.918923151613601</v>
      </c>
      <c r="G201" s="8">
        <v>57214.537978570901</v>
      </c>
      <c r="H201" s="8">
        <v>9.3857933513092107</v>
      </c>
      <c r="I201" s="8">
        <v>27.022200000000002</v>
      </c>
      <c r="J201" s="7">
        <v>1.5179800000000001</v>
      </c>
      <c r="K201" s="8">
        <v>23.416</v>
      </c>
      <c r="L201" s="8">
        <v>105.461</v>
      </c>
      <c r="M201" s="8">
        <v>14.715999999999999</v>
      </c>
      <c r="N201" s="7"/>
      <c r="O201" s="7"/>
      <c r="P201" s="7"/>
      <c r="Q201" s="7"/>
      <c r="R201" s="7"/>
      <c r="S201" s="7"/>
      <c r="T201" s="7"/>
    </row>
    <row r="202" spans="1:20" x14ac:dyDescent="0.3">
      <c r="A202" s="7" t="s">
        <v>91</v>
      </c>
      <c r="B202" s="7">
        <v>2015</v>
      </c>
      <c r="C202" s="7">
        <v>55.691000000000003</v>
      </c>
      <c r="D202" s="8">
        <v>83.494799999999998</v>
      </c>
      <c r="E202" s="7">
        <v>6</v>
      </c>
      <c r="F202" s="8">
        <v>28.338949434780101</v>
      </c>
      <c r="G202" s="8">
        <v>64250.138518125597</v>
      </c>
      <c r="H202" s="8">
        <v>24.623985636400601</v>
      </c>
      <c r="I202" s="8">
        <v>27.846299999999999</v>
      </c>
      <c r="J202" s="7">
        <v>1.17974</v>
      </c>
      <c r="K202" s="8">
        <v>20.234999999999999</v>
      </c>
      <c r="L202" s="8">
        <v>104.24299999999999</v>
      </c>
      <c r="M202" s="8">
        <v>12.401</v>
      </c>
      <c r="N202" s="7"/>
      <c r="O202" s="7"/>
      <c r="P202" s="7"/>
      <c r="Q202" s="7"/>
      <c r="R202" s="7"/>
      <c r="S202" s="7"/>
      <c r="T202" s="7"/>
    </row>
    <row r="203" spans="1:20" x14ac:dyDescent="0.3">
      <c r="A203" s="7" t="s">
        <v>91</v>
      </c>
      <c r="B203" s="7">
        <v>2016</v>
      </c>
      <c r="C203" s="7">
        <v>56.970999999999997</v>
      </c>
      <c r="D203" s="8">
        <v>83.5</v>
      </c>
      <c r="E203" s="7">
        <v>8.92</v>
      </c>
      <c r="F203" s="8">
        <v>32.8418171476767</v>
      </c>
      <c r="G203" s="8">
        <v>64129.557154238297</v>
      </c>
      <c r="H203" s="8">
        <v>1.2227166113094601</v>
      </c>
      <c r="I203" s="8">
        <v>28.614799999999999</v>
      </c>
      <c r="J203" s="7">
        <v>1.17716</v>
      </c>
      <c r="K203" s="8">
        <v>16.797000000000001</v>
      </c>
      <c r="L203" s="8">
        <v>102.55800000000001</v>
      </c>
      <c r="M203" s="8">
        <v>10.07</v>
      </c>
      <c r="N203" s="7"/>
      <c r="O203" s="7"/>
      <c r="P203" s="7"/>
      <c r="Q203" s="7"/>
      <c r="R203" s="7"/>
      <c r="S203" s="7"/>
      <c r="T203" s="7"/>
    </row>
    <row r="204" spans="1:20" x14ac:dyDescent="0.3">
      <c r="A204" s="7" t="s">
        <v>91</v>
      </c>
      <c r="B204" s="7">
        <v>2017</v>
      </c>
      <c r="C204" s="7">
        <v>57.817999999999998</v>
      </c>
      <c r="D204" s="8">
        <v>84.114000000000004</v>
      </c>
      <c r="E204" s="7">
        <v>7.87</v>
      </c>
      <c r="F204" s="8">
        <v>29.3340262522775</v>
      </c>
      <c r="G204" s="8">
        <v>72161.4047531385</v>
      </c>
      <c r="H204" s="8">
        <v>10.1088576065965</v>
      </c>
      <c r="I204" s="8">
        <v>29.079499999999999</v>
      </c>
      <c r="J204" s="7">
        <v>1.2486600000000001</v>
      </c>
      <c r="K204" s="8">
        <v>14.401999999999999</v>
      </c>
      <c r="L204" s="8">
        <v>101.842</v>
      </c>
      <c r="M204" s="8">
        <v>8.4269999999999996</v>
      </c>
      <c r="N204" s="7"/>
      <c r="O204" s="7"/>
      <c r="P204" s="7"/>
      <c r="Q204" s="7"/>
      <c r="R204" s="7"/>
      <c r="S204" s="7"/>
      <c r="T204" s="7"/>
    </row>
    <row r="205" spans="1:20" x14ac:dyDescent="0.3">
      <c r="A205" s="7" t="s">
        <v>91</v>
      </c>
      <c r="B205" s="7">
        <v>2018</v>
      </c>
      <c r="C205" s="7">
        <v>58.594000000000001</v>
      </c>
      <c r="D205" s="8">
        <v>87.000100000000003</v>
      </c>
      <c r="E205" s="7">
        <v>6.76</v>
      </c>
      <c r="F205" s="8">
        <v>25.015278229875101</v>
      </c>
      <c r="G205" s="8">
        <v>80804.112316482599</v>
      </c>
      <c r="H205" s="8">
        <v>7.6886593743743497</v>
      </c>
      <c r="I205" s="8">
        <v>29.351299999999998</v>
      </c>
      <c r="J205" s="7">
        <v>1.1069800000000001</v>
      </c>
      <c r="K205" s="8">
        <v>13.756</v>
      </c>
      <c r="L205" s="8">
        <v>102.03</v>
      </c>
      <c r="M205" s="8">
        <v>6.9240000000000004</v>
      </c>
      <c r="N205" s="7"/>
      <c r="O205" s="7"/>
      <c r="P205" s="7"/>
      <c r="Q205" s="7"/>
      <c r="R205" s="7"/>
      <c r="S205" s="7"/>
      <c r="T205" s="7"/>
    </row>
    <row r="206" spans="1:20" x14ac:dyDescent="0.3">
      <c r="A206" s="7" t="s">
        <v>91</v>
      </c>
      <c r="B206" s="7">
        <v>2019</v>
      </c>
      <c r="C206" s="7">
        <v>59.253</v>
      </c>
      <c r="D206" s="8">
        <v>87.000100000000003</v>
      </c>
      <c r="E206" s="7">
        <v>8.8000000000000007</v>
      </c>
      <c r="F206" s="8">
        <v>25.9769791902199</v>
      </c>
      <c r="G206" s="8">
        <v>81827.668887399603</v>
      </c>
      <c r="H206" s="8">
        <v>4.9728800376681601</v>
      </c>
      <c r="I206" s="8">
        <v>29.645299999999999</v>
      </c>
      <c r="J206" s="7">
        <v>1.1606799999999999</v>
      </c>
      <c r="K206" s="8">
        <v>12.457000000000001</v>
      </c>
      <c r="L206" s="8">
        <v>104.598</v>
      </c>
      <c r="M206" s="8">
        <v>5.952</v>
      </c>
      <c r="N206" s="7"/>
      <c r="O206" s="7"/>
      <c r="P206" s="7"/>
      <c r="Q206" s="7"/>
      <c r="R206" s="7"/>
      <c r="S206" s="7"/>
      <c r="T206" s="7"/>
    </row>
    <row r="207" spans="1:20" x14ac:dyDescent="0.3">
      <c r="A207" s="7" t="s">
        <v>91</v>
      </c>
      <c r="B207" s="7">
        <v>2020</v>
      </c>
      <c r="C207" s="7">
        <v>57.683999999999997</v>
      </c>
      <c r="D207" s="8">
        <v>91.999899999999997</v>
      </c>
      <c r="E207" s="7">
        <v>8.42</v>
      </c>
      <c r="F207" s="8">
        <v>25.899154469000202</v>
      </c>
      <c r="G207" s="8">
        <v>86514.070610875395</v>
      </c>
      <c r="H207" s="8">
        <v>7.1536950573533398</v>
      </c>
      <c r="I207" s="8">
        <v>30.435300000000002</v>
      </c>
      <c r="J207" s="7">
        <v>1.14551</v>
      </c>
      <c r="K207" s="8">
        <v>15.263</v>
      </c>
      <c r="L207" s="8">
        <v>105.04600000000001</v>
      </c>
      <c r="M207" s="8">
        <v>6.9029999999999996</v>
      </c>
      <c r="N207" s="7"/>
      <c r="O207" s="7"/>
      <c r="P207" s="7"/>
      <c r="Q207" s="7"/>
      <c r="R207" s="7"/>
      <c r="S207" s="7"/>
      <c r="T207" s="7"/>
    </row>
    <row r="208" spans="1:20" x14ac:dyDescent="0.3">
      <c r="A208" s="7" t="s">
        <v>91</v>
      </c>
      <c r="B208" s="7">
        <v>2021</v>
      </c>
      <c r="C208" s="7">
        <v>59.628999999999998</v>
      </c>
      <c r="D208" s="8">
        <v>96.423500000000004</v>
      </c>
      <c r="E208" s="7">
        <v>9.14</v>
      </c>
      <c r="F208" s="8">
        <v>28.478147527199098</v>
      </c>
      <c r="G208" s="8">
        <v>103783.44628447801</v>
      </c>
      <c r="H208" s="8">
        <v>16.258188115819699</v>
      </c>
      <c r="I208" s="8">
        <v>31.361599999999999</v>
      </c>
      <c r="J208" s="7">
        <v>1.1106499999999999</v>
      </c>
      <c r="K208" s="8">
        <v>15.592000000000001</v>
      </c>
      <c r="L208" s="8">
        <v>106.87</v>
      </c>
      <c r="M208" s="8">
        <v>7.85</v>
      </c>
      <c r="N208" s="7"/>
      <c r="O208" s="7"/>
      <c r="P208" s="7"/>
      <c r="Q208" s="7"/>
      <c r="R208" s="7"/>
      <c r="S208" s="7"/>
      <c r="T208" s="7"/>
    </row>
    <row r="209" spans="1:20" x14ac:dyDescent="0.3">
      <c r="A209" s="7" t="s">
        <v>91</v>
      </c>
      <c r="B209" s="7">
        <v>2022</v>
      </c>
      <c r="C209" s="7">
        <v>61.792000000000002</v>
      </c>
      <c r="D209" s="8">
        <v>96.620599999999996</v>
      </c>
      <c r="E209" s="7">
        <v>8.59</v>
      </c>
      <c r="F209" s="8">
        <v>46.786780149771403</v>
      </c>
      <c r="G209" s="8">
        <v>105190.68595273</v>
      </c>
      <c r="H209" s="8">
        <v>7.5111388841530404</v>
      </c>
      <c r="I209" s="8">
        <v>31.536300000000001</v>
      </c>
      <c r="J209" s="7">
        <v>0.96264000000000005</v>
      </c>
      <c r="K209" s="8">
        <v>9.3149999999999995</v>
      </c>
      <c r="L209" s="8">
        <v>110.60899999999999</v>
      </c>
      <c r="M209" s="8">
        <v>5.2389999999999999</v>
      </c>
      <c r="N209" s="7"/>
      <c r="O209" s="7"/>
      <c r="P209" s="7"/>
      <c r="Q209" s="7"/>
      <c r="R209" s="7"/>
      <c r="S209" s="7"/>
      <c r="T209" s="7"/>
    </row>
    <row r="210" spans="1:20" x14ac:dyDescent="0.3">
      <c r="A210" s="26" t="s">
        <v>90</v>
      </c>
      <c r="B210" s="26">
        <v>2007</v>
      </c>
      <c r="C210" s="26">
        <f t="array" ref="C210:C225">TRANSPOSE(EMPLOYrate!D27:S27)</f>
        <v>53.183999999999997</v>
      </c>
      <c r="D210" s="27" cm="1">
        <f t="array" ref="D210:D225">TRANSPOSE(ictuse!D17:S17)</f>
        <v>49.9</v>
      </c>
      <c r="E210" s="26">
        <f t="array" ref="E210:E225">TRANSPOSE(ictgoods!D9:S9)</f>
        <v>3.88</v>
      </c>
      <c r="F210" s="27" cm="1">
        <f t="array" ref="F210:F225">TRANSPOSE(hightechmanu!C18:R18)</f>
        <v>11.601358927676101</v>
      </c>
      <c r="G210" s="27" cm="1">
        <f t="array" ref="G210:G225">TRANSPOSE(gdppercapita!D18:S18)</f>
        <v>12295.1212779365</v>
      </c>
      <c r="H210" s="27" cm="1">
        <f t="array" ref="H210:H225">TRANSPOSE(gdpannual!D21:S21)</f>
        <v>11.077928257867301</v>
      </c>
      <c r="I210" s="27" cm="1">
        <f t="array" ref="I210:I225">TRANSPOSE(fixedbroadband!D7:S7)</f>
        <v>17.3003</v>
      </c>
      <c r="J210" s="26" cm="1">
        <f t="array" ref="J210:J225">TRANSPOSE(rdexpediture!D15:S15)</f>
        <v>0.80174000000000001</v>
      </c>
      <c r="K210" s="36" cm="1">
        <f t="array" ref="K210:K225">TRANSPOSE(YOUTH_EMPLOY!D18:S18)</f>
        <v>8.3940000000000001</v>
      </c>
      <c r="L210" s="36">
        <f t="array" ref="L210:L225">TRANSPOSE(mobile_celular!D11:S11)</f>
        <v>152.012</v>
      </c>
      <c r="M210" s="36">
        <f t="array" ref="M210:M225">TRANSPOSE(unemployEAD!C18:R18)</f>
        <v>4.9729999999999999</v>
      </c>
      <c r="N210" s="37"/>
      <c r="O210" s="37"/>
      <c r="P210" s="37"/>
      <c r="Q210" s="37"/>
      <c r="R210" s="37"/>
      <c r="S210" s="37"/>
      <c r="T210" s="37"/>
    </row>
    <row r="211" spans="1:20" x14ac:dyDescent="0.3">
      <c r="A211" s="26" t="s">
        <v>90</v>
      </c>
      <c r="B211" s="26">
        <v>2008</v>
      </c>
      <c r="C211" s="26">
        <v>52.564</v>
      </c>
      <c r="D211" s="27">
        <v>55.22</v>
      </c>
      <c r="E211" s="26">
        <v>3.02</v>
      </c>
      <c r="F211" s="27">
        <v>11.799090469043</v>
      </c>
      <c r="G211" s="27">
        <v>14955.534546292</v>
      </c>
      <c r="H211" s="27">
        <v>2.59946154605601</v>
      </c>
      <c r="I211" s="27">
        <v>18.4495</v>
      </c>
      <c r="J211" s="26">
        <v>0.78932000000000002</v>
      </c>
      <c r="K211" s="36">
        <v>13.353</v>
      </c>
      <c r="L211" s="36">
        <v>157.03200000000001</v>
      </c>
      <c r="M211" s="36">
        <v>6.7050000000000001</v>
      </c>
      <c r="N211" s="37"/>
      <c r="O211" s="37"/>
      <c r="P211" s="37"/>
      <c r="Q211" s="37"/>
      <c r="R211" s="37"/>
      <c r="S211" s="37"/>
      <c r="T211" s="37"/>
    </row>
    <row r="212" spans="1:20" x14ac:dyDescent="0.3">
      <c r="A212" s="26" t="s">
        <v>90</v>
      </c>
      <c r="B212" s="26">
        <v>2009</v>
      </c>
      <c r="C212" s="26">
        <v>48.753999999999998</v>
      </c>
      <c r="D212" s="27">
        <v>59.76</v>
      </c>
      <c r="E212" s="26">
        <v>2.4900000000000002</v>
      </c>
      <c r="F212" s="27">
        <v>10.5429057899842</v>
      </c>
      <c r="G212" s="27">
        <v>11854.371105309499</v>
      </c>
      <c r="H212" s="27">
        <v>-14.8386117894847</v>
      </c>
      <c r="I212" s="27">
        <v>20.035699999999999</v>
      </c>
      <c r="J212" s="26">
        <v>0.83084000000000002</v>
      </c>
      <c r="K212" s="36">
        <v>29.584</v>
      </c>
      <c r="L212" s="36">
        <v>156.84800000000001</v>
      </c>
      <c r="M212" s="36">
        <v>16.363</v>
      </c>
      <c r="N212" s="37"/>
      <c r="O212" s="37"/>
      <c r="P212" s="37"/>
      <c r="Q212" s="37"/>
      <c r="R212" s="37"/>
      <c r="S212" s="37"/>
      <c r="T212" s="37"/>
    </row>
    <row r="213" spans="1:20" x14ac:dyDescent="0.3">
      <c r="A213" s="26" t="s">
        <v>90</v>
      </c>
      <c r="B213" s="26">
        <v>2010</v>
      </c>
      <c r="C213" s="26">
        <v>46.695</v>
      </c>
      <c r="D213" s="27">
        <v>62.12</v>
      </c>
      <c r="E213" s="26">
        <v>2.71</v>
      </c>
      <c r="F213" s="27">
        <v>11.2469941524537</v>
      </c>
      <c r="G213" s="27">
        <v>11829.122609456999</v>
      </c>
      <c r="H213" s="27">
        <v>0.42719956655076802</v>
      </c>
      <c r="I213" s="27">
        <v>21.9297</v>
      </c>
      <c r="J213" s="26">
        <v>0.7833</v>
      </c>
      <c r="K213" s="36">
        <v>35.744</v>
      </c>
      <c r="L213" s="36">
        <v>157.88999999999999</v>
      </c>
      <c r="M213" s="36">
        <v>21.773</v>
      </c>
      <c r="N213" s="37"/>
      <c r="O213" s="37"/>
      <c r="P213" s="37"/>
      <c r="Q213" s="37"/>
      <c r="R213" s="37"/>
      <c r="S213" s="37"/>
      <c r="T213" s="37"/>
    </row>
    <row r="214" spans="1:20" x14ac:dyDescent="0.3">
      <c r="A214" s="26" t="s">
        <v>90</v>
      </c>
      <c r="B214" s="26">
        <v>2011</v>
      </c>
      <c r="C214" s="26">
        <v>48.558</v>
      </c>
      <c r="D214" s="27">
        <v>63.64</v>
      </c>
      <c r="E214" s="26">
        <v>2.4</v>
      </c>
      <c r="F214" s="27">
        <v>10.6070246805608</v>
      </c>
      <c r="G214" s="27">
        <v>14261.843378732499</v>
      </c>
      <c r="H214" s="27">
        <v>6.3236366482129798</v>
      </c>
      <c r="I214" s="27">
        <v>24.027200000000001</v>
      </c>
      <c r="J214" s="26">
        <v>0.90268999999999999</v>
      </c>
      <c r="K214" s="36">
        <v>32.587000000000003</v>
      </c>
      <c r="L214" s="36">
        <v>163.04300000000001</v>
      </c>
      <c r="M214" s="36">
        <v>19.007999999999999</v>
      </c>
      <c r="N214" s="37"/>
      <c r="O214" s="37"/>
      <c r="P214" s="37"/>
      <c r="Q214" s="37"/>
      <c r="R214" s="37"/>
      <c r="S214" s="37"/>
      <c r="T214" s="37"/>
    </row>
    <row r="215" spans="1:20" x14ac:dyDescent="0.3">
      <c r="A215" s="26" t="s">
        <v>90</v>
      </c>
      <c r="B215" s="26">
        <v>2012</v>
      </c>
      <c r="C215" s="26">
        <v>50.014000000000003</v>
      </c>
      <c r="D215" s="27">
        <v>67.23</v>
      </c>
      <c r="E215" s="26">
        <v>2.27</v>
      </c>
      <c r="F215" s="27">
        <v>11.042222495168501</v>
      </c>
      <c r="G215" s="27">
        <v>14288.185349313801</v>
      </c>
      <c r="H215" s="27">
        <v>4.3829058435515602</v>
      </c>
      <c r="I215" s="27">
        <v>25.7288</v>
      </c>
      <c r="J215" s="26">
        <v>0.89303999999999994</v>
      </c>
      <c r="K215" s="36">
        <v>26.684000000000001</v>
      </c>
      <c r="L215" s="36">
        <v>167.226</v>
      </c>
      <c r="M215" s="36">
        <v>16.417999999999999</v>
      </c>
      <c r="N215" s="37"/>
      <c r="O215" s="37"/>
      <c r="P215" s="37"/>
      <c r="Q215" s="37"/>
      <c r="R215" s="37"/>
      <c r="S215" s="37"/>
      <c r="T215" s="37"/>
    </row>
    <row r="216" spans="1:20" x14ac:dyDescent="0.3">
      <c r="A216" s="26" t="s">
        <v>90</v>
      </c>
      <c r="B216" s="26">
        <v>2013</v>
      </c>
      <c r="C216" s="26">
        <v>51.171999999999997</v>
      </c>
      <c r="D216" s="27">
        <v>68.4529</v>
      </c>
      <c r="E216" s="26">
        <v>2.4300000000000002</v>
      </c>
      <c r="F216" s="27">
        <v>11.0243128207069</v>
      </c>
      <c r="G216" s="27">
        <v>15636.525258604701</v>
      </c>
      <c r="H216" s="27">
        <v>4.0469131857532501</v>
      </c>
      <c r="I216" s="27">
        <v>28.265699999999999</v>
      </c>
      <c r="J216" s="26">
        <v>0.94872000000000001</v>
      </c>
      <c r="K216" s="36">
        <v>21.896000000000001</v>
      </c>
      <c r="L216" s="36">
        <v>154.34100000000001</v>
      </c>
      <c r="M216" s="36">
        <v>14.343999999999999</v>
      </c>
      <c r="N216" s="37"/>
      <c r="O216" s="37"/>
      <c r="P216" s="37"/>
      <c r="Q216" s="37"/>
      <c r="R216" s="37"/>
      <c r="S216" s="37"/>
      <c r="T216" s="37"/>
    </row>
    <row r="217" spans="1:20" x14ac:dyDescent="0.3">
      <c r="A217" s="26" t="s">
        <v>90</v>
      </c>
      <c r="B217" s="26">
        <v>2014</v>
      </c>
      <c r="C217" s="26">
        <v>52.624000000000002</v>
      </c>
      <c r="D217" s="27">
        <v>72.133499999999998</v>
      </c>
      <c r="E217" s="26">
        <v>2.94</v>
      </c>
      <c r="F217" s="27">
        <v>11.1391744920282</v>
      </c>
      <c r="G217" s="27">
        <v>16446.164718166299</v>
      </c>
      <c r="H217" s="27">
        <v>3.7725437958098902</v>
      </c>
      <c r="I217" s="27">
        <v>27.337800000000001</v>
      </c>
      <c r="J217" s="26">
        <v>1.0301100000000001</v>
      </c>
      <c r="K217" s="36">
        <v>19.257999999999999</v>
      </c>
      <c r="L217" s="36">
        <v>145.494</v>
      </c>
      <c r="M217" s="36">
        <v>13.46</v>
      </c>
      <c r="N217" s="37"/>
      <c r="O217" s="37"/>
      <c r="P217" s="37"/>
      <c r="Q217" s="37"/>
      <c r="R217" s="37"/>
      <c r="S217" s="37"/>
      <c r="T217" s="37"/>
    </row>
    <row r="218" spans="1:20" x14ac:dyDescent="0.3">
      <c r="A218" s="26" t="s">
        <v>90</v>
      </c>
      <c r="B218" s="26">
        <v>2015</v>
      </c>
      <c r="C218" s="26">
        <v>53.762</v>
      </c>
      <c r="D218" s="27">
        <v>71.378100000000003</v>
      </c>
      <c r="E218" s="26">
        <v>3.95</v>
      </c>
      <c r="F218" s="27">
        <v>12.7802328819912</v>
      </c>
      <c r="G218" s="27">
        <v>14269.8039878286</v>
      </c>
      <c r="H218" s="27">
        <v>2.8328064334323302</v>
      </c>
      <c r="I218" s="27">
        <v>28.677399999999999</v>
      </c>
      <c r="J218" s="26">
        <v>1.0434099999999999</v>
      </c>
      <c r="K218" s="36">
        <v>16.302</v>
      </c>
      <c r="L218" s="36">
        <v>143.99100000000001</v>
      </c>
      <c r="M218" s="36">
        <v>11.67</v>
      </c>
      <c r="N218" s="37"/>
      <c r="O218" s="37"/>
      <c r="P218" s="37"/>
      <c r="Q218" s="37"/>
      <c r="R218" s="37"/>
      <c r="S218" s="37"/>
      <c r="T218" s="37"/>
    </row>
    <row r="219" spans="1:20" x14ac:dyDescent="0.3">
      <c r="A219" s="26" t="s">
        <v>90</v>
      </c>
      <c r="B219" s="26">
        <v>2016</v>
      </c>
      <c r="C219" s="26">
        <v>55.587000000000003</v>
      </c>
      <c r="D219" s="27">
        <v>74.376599999999996</v>
      </c>
      <c r="E219" s="26">
        <v>3.86</v>
      </c>
      <c r="F219" s="27">
        <v>12.640001390143601</v>
      </c>
      <c r="G219" s="27">
        <v>14934.270284042799</v>
      </c>
      <c r="H219" s="27">
        <v>2.6719221505332902</v>
      </c>
      <c r="I219" s="27">
        <v>29.8964</v>
      </c>
      <c r="J219" s="26">
        <v>0.84240999999999999</v>
      </c>
      <c r="K219" s="36">
        <v>14.455</v>
      </c>
      <c r="L219" s="36">
        <v>146.55000000000001</v>
      </c>
      <c r="M219" s="36">
        <v>10.377000000000001</v>
      </c>
      <c r="N219" s="37"/>
      <c r="O219" s="37"/>
      <c r="P219" s="37"/>
      <c r="Q219" s="37"/>
      <c r="R219" s="37"/>
      <c r="S219" s="37"/>
      <c r="T219" s="37"/>
    </row>
    <row r="220" spans="1:20" x14ac:dyDescent="0.3">
      <c r="A220" s="26" t="s">
        <v>90</v>
      </c>
      <c r="B220" s="26">
        <v>2017</v>
      </c>
      <c r="C220" s="26">
        <v>56.314999999999998</v>
      </c>
      <c r="D220" s="27">
        <v>77.615300000000005</v>
      </c>
      <c r="E220" s="26">
        <v>4.08</v>
      </c>
      <c r="F220" s="27">
        <v>12.519356798079</v>
      </c>
      <c r="G220" s="27">
        <v>16800.151024609801</v>
      </c>
      <c r="H220" s="27">
        <v>4.6122431031280904</v>
      </c>
      <c r="I220" s="27">
        <v>28.2319</v>
      </c>
      <c r="J220" s="26">
        <v>0.89625999999999995</v>
      </c>
      <c r="K220" s="36">
        <v>13.266</v>
      </c>
      <c r="L220" s="36">
        <v>154.148</v>
      </c>
      <c r="M220" s="36">
        <v>9.3140000000000001</v>
      </c>
      <c r="N220" s="37"/>
      <c r="O220" s="37"/>
      <c r="P220" s="37"/>
      <c r="Q220" s="37"/>
      <c r="R220" s="37"/>
      <c r="S220" s="37"/>
      <c r="T220" s="37"/>
    </row>
    <row r="221" spans="1:20" x14ac:dyDescent="0.3">
      <c r="A221" s="26" t="s">
        <v>90</v>
      </c>
      <c r="B221" s="26">
        <v>2018</v>
      </c>
      <c r="C221" s="26">
        <v>57.765000000000001</v>
      </c>
      <c r="D221" s="27">
        <v>79.7226</v>
      </c>
      <c r="E221" s="26">
        <v>3.48</v>
      </c>
      <c r="F221" s="27">
        <v>12.1027083207729</v>
      </c>
      <c r="G221" s="27">
        <v>19247.2315367966</v>
      </c>
      <c r="H221" s="27">
        <v>4.9183678010681096</v>
      </c>
      <c r="I221" s="27">
        <v>28.144500000000001</v>
      </c>
      <c r="J221" s="26">
        <v>0.93662000000000001</v>
      </c>
      <c r="K221" s="36">
        <v>11.117000000000001</v>
      </c>
      <c r="L221" s="36">
        <v>134.334</v>
      </c>
      <c r="M221" s="36">
        <v>7.9939999999999998</v>
      </c>
      <c r="N221" s="37"/>
      <c r="O221" s="37"/>
      <c r="P221" s="37"/>
      <c r="Q221" s="37"/>
      <c r="R221" s="37"/>
      <c r="S221" s="37"/>
      <c r="T221" s="37"/>
    </row>
    <row r="222" spans="1:20" x14ac:dyDescent="0.3">
      <c r="A222" s="26" t="s">
        <v>90</v>
      </c>
      <c r="B222" s="26">
        <v>2019</v>
      </c>
      <c r="C222" s="26">
        <v>58.203000000000003</v>
      </c>
      <c r="D222" s="27">
        <v>81.581900000000005</v>
      </c>
      <c r="E222" s="26">
        <v>3.44</v>
      </c>
      <c r="F222" s="27">
        <v>12.0304039362778</v>
      </c>
      <c r="G222" s="27">
        <v>19608.7943945552</v>
      </c>
      <c r="H222" s="27">
        <v>4.6773518353045</v>
      </c>
      <c r="I222" s="27">
        <v>28.279199999999999</v>
      </c>
      <c r="J222" s="26">
        <v>0.99265999999999999</v>
      </c>
      <c r="K222" s="36">
        <v>11.85</v>
      </c>
      <c r="L222" s="36">
        <v>132.529</v>
      </c>
      <c r="M222" s="36">
        <v>8.298</v>
      </c>
      <c r="N222" s="37"/>
      <c r="O222" s="37"/>
      <c r="P222" s="37"/>
      <c r="Q222" s="37"/>
      <c r="R222" s="37"/>
      <c r="S222" s="37"/>
      <c r="T222" s="37"/>
    </row>
    <row r="223" spans="1:20" x14ac:dyDescent="0.3">
      <c r="A223" s="26" t="s">
        <v>90</v>
      </c>
      <c r="B223" s="26">
        <v>2020</v>
      </c>
      <c r="C223" s="26">
        <v>57.3</v>
      </c>
      <c r="D223" s="27">
        <v>83.055499999999995</v>
      </c>
      <c r="E223" s="26">
        <v>3.92</v>
      </c>
      <c r="F223" s="27">
        <v>12.009566093371101</v>
      </c>
      <c r="G223" s="27">
        <v>20428.647815739401</v>
      </c>
      <c r="H223" s="27">
        <v>4.28158336981425E-2</v>
      </c>
      <c r="I223" s="27">
        <v>28.498899999999999</v>
      </c>
      <c r="J223" s="26">
        <v>1.1326099999999999</v>
      </c>
      <c r="K223" s="36">
        <v>19.556000000000001</v>
      </c>
      <c r="L223" s="36">
        <v>131.34100000000001</v>
      </c>
      <c r="M223" s="36">
        <v>11.364000000000001</v>
      </c>
      <c r="N223" s="37"/>
      <c r="O223" s="37"/>
      <c r="P223" s="37"/>
      <c r="Q223" s="37"/>
      <c r="R223" s="37"/>
      <c r="S223" s="37"/>
      <c r="T223" s="37"/>
    </row>
    <row r="224" spans="1:20" x14ac:dyDescent="0.3">
      <c r="A224" s="26" t="s">
        <v>90</v>
      </c>
      <c r="B224" s="26">
        <v>2021</v>
      </c>
      <c r="C224" s="26">
        <v>57.86</v>
      </c>
      <c r="D224" s="27">
        <v>86.930499999999995</v>
      </c>
      <c r="E224" s="26">
        <v>3.43</v>
      </c>
      <c r="F224" s="27">
        <v>11.5089569274319</v>
      </c>
      <c r="G224" s="27">
        <v>23870.459485172199</v>
      </c>
      <c r="H224" s="27">
        <v>6.3800160617987203</v>
      </c>
      <c r="I224" s="27">
        <v>28.712700000000002</v>
      </c>
      <c r="J224" s="26">
        <v>1.10436</v>
      </c>
      <c r="K224" s="36">
        <v>14.304</v>
      </c>
      <c r="L224" s="36">
        <v>133.357</v>
      </c>
      <c r="M224" s="36">
        <v>9.2870000000000008</v>
      </c>
      <c r="N224" s="37"/>
      <c r="O224" s="37"/>
      <c r="P224" s="37"/>
      <c r="Q224" s="37"/>
      <c r="R224" s="37"/>
      <c r="S224" s="37"/>
      <c r="T224" s="37"/>
    </row>
    <row r="225" spans="1:20" x14ac:dyDescent="0.3">
      <c r="A225" s="26" t="s">
        <v>90</v>
      </c>
      <c r="B225" s="26">
        <v>2022</v>
      </c>
      <c r="C225" s="26">
        <v>59.142000000000003</v>
      </c>
      <c r="D225" s="27">
        <v>87.724199999999996</v>
      </c>
      <c r="E225" s="26">
        <v>3.2</v>
      </c>
      <c r="F225" s="27">
        <v>12.996394133363401</v>
      </c>
      <c r="G225" s="27">
        <v>25085.784063498999</v>
      </c>
      <c r="H225" s="27">
        <v>2.5375257401153402</v>
      </c>
      <c r="I225" s="27">
        <v>28.44</v>
      </c>
      <c r="J225" s="26">
        <v>1.0531900000000001</v>
      </c>
      <c r="K225" s="36">
        <v>11.872999999999999</v>
      </c>
      <c r="L225" s="36">
        <v>135.834</v>
      </c>
      <c r="M225" s="36">
        <v>7.58</v>
      </c>
      <c r="N225" s="37"/>
      <c r="O225" s="37"/>
      <c r="P225" s="37"/>
      <c r="Q225" s="37"/>
      <c r="R225" s="37"/>
      <c r="S225" s="37"/>
      <c r="T225" s="37"/>
    </row>
    <row r="226" spans="1:20" x14ac:dyDescent="0.3">
      <c r="A226" s="28" t="s">
        <v>89</v>
      </c>
      <c r="B226" s="28">
        <v>2007</v>
      </c>
      <c r="C226" s="28">
        <f t="array" ref="C226:C241">TRANSPOSE(EMPLOYrate!D26:S26)</f>
        <v>53.656999999999996</v>
      </c>
      <c r="D226" s="29" cm="1">
        <f t="array" ref="D226:D241">TRANSPOSE(ictuse!D18:S18)</f>
        <v>78.92</v>
      </c>
      <c r="E226" s="28">
        <f t="array" ref="E226:E241">TRANSPOSE(ictgoods!D22:S22)</f>
        <v>4.67</v>
      </c>
      <c r="F226" s="29" cm="1">
        <f t="array" ref="F226:F241">TRANSPOSE(hightechmanu!C19:R19)</f>
        <v>10.7100084670999</v>
      </c>
      <c r="G226" s="29" cm="1">
        <f t="array" ref="G226:G241">TRANSPOSE(gdppercapita!D19:S19)</f>
        <v>107475.320297977</v>
      </c>
      <c r="H226" s="29" cm="1">
        <f t="array" ref="H226:H241">TRANSPOSE(gdpannual!D26:S26)</f>
        <v>8.0986672304808192</v>
      </c>
      <c r="I226" s="29" cm="1">
        <f t="array" ref="I226:I241">TRANSPOSE(fixedbroadband!D12:S12)</f>
        <v>26.793299999999999</v>
      </c>
      <c r="J226" s="28" cm="1">
        <f t="array" ref="J226:J241">TRANSPOSE(rdexpediture!D28:S28)</f>
        <v>1.57165</v>
      </c>
      <c r="K226" s="29" cm="1">
        <f t="array" ref="K226:K241">TRANSPOSE(YOUTH_EMPLOY!D19:S19)</f>
        <v>14.843</v>
      </c>
      <c r="L226" s="29">
        <f t="array" ref="L226:L241">TRANSPOSE(mobile_celular!D4:S4)</f>
        <v>142.524</v>
      </c>
      <c r="M226" s="29">
        <f t="array" ref="M226:M241">TRANSPOSE(unemployEAD!C19:R19)</f>
        <v>3.355</v>
      </c>
      <c r="N226" s="28"/>
      <c r="O226" s="28"/>
      <c r="P226" s="28"/>
      <c r="Q226" s="28"/>
      <c r="R226" s="28"/>
      <c r="S226" s="28"/>
      <c r="T226" s="28"/>
    </row>
    <row r="227" spans="1:20" x14ac:dyDescent="0.3">
      <c r="A227" s="28" t="s">
        <v>89</v>
      </c>
      <c r="B227" s="28">
        <v>2008</v>
      </c>
      <c r="C227" s="28">
        <v>53.177</v>
      </c>
      <c r="D227" s="29">
        <v>82.23</v>
      </c>
      <c r="E227" s="28">
        <v>3.03</v>
      </c>
      <c r="F227" s="29">
        <v>8.0112933208158204</v>
      </c>
      <c r="G227" s="29">
        <v>120422.137934156</v>
      </c>
      <c r="H227" s="29">
        <v>-0.30017562493684102</v>
      </c>
      <c r="I227" s="29">
        <v>29.2849</v>
      </c>
      <c r="J227" s="28">
        <v>1.5466299999999999</v>
      </c>
      <c r="K227" s="29">
        <v>17.783999999999999</v>
      </c>
      <c r="L227" s="29">
        <v>144.584</v>
      </c>
      <c r="M227" s="29">
        <v>5.8929999999999998</v>
      </c>
      <c r="N227" s="28"/>
      <c r="O227" s="28"/>
      <c r="P227" s="28"/>
      <c r="Q227" s="28"/>
      <c r="R227" s="28"/>
      <c r="S227" s="28"/>
      <c r="T227" s="28"/>
    </row>
    <row r="228" spans="1:20" x14ac:dyDescent="0.3">
      <c r="A228" s="28" t="s">
        <v>89</v>
      </c>
      <c r="B228" s="28">
        <v>2009</v>
      </c>
      <c r="C228" s="28">
        <v>55.058</v>
      </c>
      <c r="D228" s="29">
        <v>87.31</v>
      </c>
      <c r="E228" s="28">
        <v>3.21</v>
      </c>
      <c r="F228" s="29">
        <v>10.3204694049141</v>
      </c>
      <c r="G228" s="29">
        <v>109419.74695310601</v>
      </c>
      <c r="H228" s="29">
        <v>-3.2389540914749202</v>
      </c>
      <c r="I228" s="29">
        <v>31.337599999999998</v>
      </c>
      <c r="J228" s="28">
        <v>1.58839</v>
      </c>
      <c r="K228" s="29">
        <v>16.780999999999999</v>
      </c>
      <c r="L228" s="29">
        <v>144.524</v>
      </c>
      <c r="M228" s="29">
        <v>4.3209999999999997</v>
      </c>
      <c r="N228" s="28"/>
      <c r="O228" s="28"/>
      <c r="P228" s="28"/>
      <c r="Q228" s="28"/>
      <c r="R228" s="28"/>
      <c r="S228" s="28"/>
      <c r="T228" s="28"/>
    </row>
    <row r="229" spans="1:20" x14ac:dyDescent="0.3">
      <c r="A229" s="28" t="s">
        <v>89</v>
      </c>
      <c r="B229" s="28">
        <v>2010</v>
      </c>
      <c r="C229" s="28">
        <v>55.110999999999997</v>
      </c>
      <c r="D229" s="29">
        <v>90.62</v>
      </c>
      <c r="E229" s="28">
        <v>2.87</v>
      </c>
      <c r="F229" s="29">
        <v>8.7786623766930507</v>
      </c>
      <c r="G229" s="29">
        <v>110885.991378721</v>
      </c>
      <c r="H229" s="29">
        <v>3.7604145432002798</v>
      </c>
      <c r="I229" s="29">
        <v>33.181800000000003</v>
      </c>
      <c r="J229" s="28">
        <v>1.4237299999999999</v>
      </c>
      <c r="K229" s="29">
        <v>13.917</v>
      </c>
      <c r="L229" s="29">
        <v>143.27699999999999</v>
      </c>
      <c r="M229" s="29">
        <v>4.0259999999999998</v>
      </c>
      <c r="N229" s="28"/>
      <c r="O229" s="28"/>
      <c r="P229" s="28"/>
      <c r="Q229" s="28"/>
      <c r="R229" s="28"/>
      <c r="S229" s="28"/>
      <c r="T229" s="28"/>
    </row>
    <row r="230" spans="1:20" x14ac:dyDescent="0.3">
      <c r="A230" s="28" t="s">
        <v>89</v>
      </c>
      <c r="B230" s="28">
        <v>2011</v>
      </c>
      <c r="C230" s="28">
        <v>54.585999999999999</v>
      </c>
      <c r="D230" s="29">
        <v>90.029899999999998</v>
      </c>
      <c r="E230" s="28">
        <v>2.87</v>
      </c>
      <c r="F230" s="29">
        <v>9.0505998616212295</v>
      </c>
      <c r="G230" s="29">
        <v>119025.057203466</v>
      </c>
      <c r="H230" s="29">
        <v>1.0442985532332401</v>
      </c>
      <c r="I230" s="29">
        <v>32.733899999999998</v>
      </c>
      <c r="J230" s="28">
        <v>1.4245300000000001</v>
      </c>
      <c r="K230" s="29">
        <v>18.047999999999998</v>
      </c>
      <c r="L230" s="29">
        <v>147.512</v>
      </c>
      <c r="M230" s="29">
        <v>4.3860000000000001</v>
      </c>
      <c r="N230" s="28"/>
      <c r="O230" s="28"/>
      <c r="P230" s="28"/>
      <c r="Q230" s="28"/>
      <c r="R230" s="28"/>
      <c r="S230" s="28"/>
      <c r="T230" s="28"/>
    </row>
    <row r="231" spans="1:20" x14ac:dyDescent="0.3">
      <c r="A231" s="28" t="s">
        <v>89</v>
      </c>
      <c r="B231" s="28">
        <v>2012</v>
      </c>
      <c r="C231" s="28">
        <v>55.823</v>
      </c>
      <c r="D231" s="29">
        <v>91.9499</v>
      </c>
      <c r="E231" s="28">
        <v>2.78</v>
      </c>
      <c r="F231" s="29">
        <v>8.6848692357001802</v>
      </c>
      <c r="G231" s="29">
        <v>112584.67627095801</v>
      </c>
      <c r="H231" s="29">
        <v>1.6499021276455299</v>
      </c>
      <c r="I231" s="29">
        <v>31.9618</v>
      </c>
      <c r="J231" s="28">
        <v>1.2066399999999999</v>
      </c>
      <c r="K231" s="29">
        <v>16.577999999999999</v>
      </c>
      <c r="L231" s="29">
        <v>143.38800000000001</v>
      </c>
      <c r="M231" s="29">
        <v>5.15</v>
      </c>
      <c r="N231" s="28"/>
      <c r="O231" s="28"/>
      <c r="P231" s="28"/>
      <c r="Q231" s="28"/>
      <c r="R231" s="28"/>
      <c r="S231" s="28"/>
      <c r="T231" s="28"/>
    </row>
    <row r="232" spans="1:20" x14ac:dyDescent="0.3">
      <c r="A232" s="28" t="s">
        <v>89</v>
      </c>
      <c r="B232" s="28">
        <v>2013</v>
      </c>
      <c r="C232" s="28">
        <v>55.728000000000002</v>
      </c>
      <c r="D232" s="29">
        <v>93.776499999999999</v>
      </c>
      <c r="E232" s="28">
        <v>2</v>
      </c>
      <c r="F232" s="29">
        <v>6.8438523675119001</v>
      </c>
      <c r="G232" s="29">
        <v>120000.14072985901</v>
      </c>
      <c r="H232" s="29">
        <v>3.1717898996868201</v>
      </c>
      <c r="I232" s="29">
        <v>32.483400000000003</v>
      </c>
      <c r="J232" s="28">
        <v>1.2338100000000001</v>
      </c>
      <c r="K232" s="29">
        <v>16.289000000000001</v>
      </c>
      <c r="L232" s="29">
        <v>145.09299999999999</v>
      </c>
      <c r="M232" s="29">
        <v>5.8520000000000003</v>
      </c>
      <c r="N232" s="28"/>
      <c r="O232" s="28"/>
      <c r="P232" s="28"/>
      <c r="Q232" s="28"/>
      <c r="R232" s="28"/>
      <c r="S232" s="28"/>
      <c r="T232" s="28"/>
    </row>
    <row r="233" spans="1:20" x14ac:dyDescent="0.3">
      <c r="A233" s="28" t="s">
        <v>89</v>
      </c>
      <c r="B233" s="28">
        <v>2014</v>
      </c>
      <c r="C233" s="28">
        <v>56.176000000000002</v>
      </c>
      <c r="D233" s="29">
        <v>94.670199999999994</v>
      </c>
      <c r="E233" s="28">
        <v>2</v>
      </c>
      <c r="F233" s="29">
        <v>5.9725174102382104</v>
      </c>
      <c r="G233" s="29">
        <v>123678.702143274</v>
      </c>
      <c r="H233" s="29">
        <v>2.6230867915488099</v>
      </c>
      <c r="I233" s="29">
        <v>33.580300000000001</v>
      </c>
      <c r="J233" s="28">
        <v>1.2170000000000001</v>
      </c>
      <c r="K233" s="29">
        <v>24.277999999999999</v>
      </c>
      <c r="L233" s="29">
        <v>144.244</v>
      </c>
      <c r="M233" s="29">
        <v>6.3010000000000002</v>
      </c>
      <c r="N233" s="28"/>
      <c r="O233" s="28"/>
      <c r="P233" s="28"/>
      <c r="Q233" s="28"/>
      <c r="R233" s="28"/>
      <c r="S233" s="28"/>
      <c r="T233" s="28"/>
    </row>
    <row r="234" spans="1:20" x14ac:dyDescent="0.3">
      <c r="A234" s="28" t="s">
        <v>89</v>
      </c>
      <c r="B234" s="28">
        <v>2015</v>
      </c>
      <c r="C234" s="28">
        <v>56.429000000000002</v>
      </c>
      <c r="D234" s="29">
        <v>96.3767</v>
      </c>
      <c r="E234" s="28">
        <v>2.29</v>
      </c>
      <c r="F234" s="29">
        <v>7.1063570044195901</v>
      </c>
      <c r="G234" s="29">
        <v>105462.012584422</v>
      </c>
      <c r="H234" s="29">
        <v>2.2697842330283402</v>
      </c>
      <c r="I234" s="29">
        <v>34.2911</v>
      </c>
      <c r="J234" s="28">
        <v>1.2522599999999999</v>
      </c>
      <c r="K234" s="29">
        <v>17.5</v>
      </c>
      <c r="L234" s="29">
        <v>141.65899999999999</v>
      </c>
      <c r="M234" s="29">
        <v>6.25</v>
      </c>
      <c r="N234" s="28"/>
      <c r="O234" s="28"/>
      <c r="P234" s="28"/>
      <c r="Q234" s="28"/>
      <c r="R234" s="28"/>
      <c r="S234" s="28"/>
      <c r="T234" s="28"/>
    </row>
    <row r="235" spans="1:20" x14ac:dyDescent="0.3">
      <c r="A235" s="28" t="s">
        <v>89</v>
      </c>
      <c r="B235" s="28">
        <v>2016</v>
      </c>
      <c r="C235" s="28">
        <v>55.866999999999997</v>
      </c>
      <c r="D235" s="29">
        <v>98.136700000000005</v>
      </c>
      <c r="E235" s="28">
        <v>2.4900000000000002</v>
      </c>
      <c r="F235" s="29">
        <v>7.9670864044866097</v>
      </c>
      <c r="G235" s="29">
        <v>106899.293549551</v>
      </c>
      <c r="H235" s="29">
        <v>4.9781901152011496</v>
      </c>
      <c r="I235" s="29">
        <v>34.806800000000003</v>
      </c>
      <c r="J235" s="28">
        <v>1.2668999999999999</v>
      </c>
      <c r="K235" s="29">
        <v>21.986999999999998</v>
      </c>
      <c r="L235" s="29">
        <v>130.93299999999999</v>
      </c>
      <c r="M235" s="29">
        <v>6.7279999999999998</v>
      </c>
      <c r="N235" s="28"/>
      <c r="O235" s="28"/>
      <c r="P235" s="28"/>
      <c r="Q235" s="28"/>
      <c r="R235" s="28"/>
      <c r="S235" s="28"/>
      <c r="T235" s="28"/>
    </row>
    <row r="236" spans="1:20" x14ac:dyDescent="0.3">
      <c r="A236" s="28" t="s">
        <v>89</v>
      </c>
      <c r="B236" s="28">
        <v>2017</v>
      </c>
      <c r="C236" s="28">
        <v>56.021999999999998</v>
      </c>
      <c r="D236" s="29">
        <v>97.363</v>
      </c>
      <c r="E236" s="28">
        <v>2.58</v>
      </c>
      <c r="F236" s="29">
        <v>6.9688410293022001</v>
      </c>
      <c r="G236" s="29">
        <v>110193.213797227</v>
      </c>
      <c r="H236" s="29">
        <v>1.3171871375428399</v>
      </c>
      <c r="I236" s="29">
        <v>35.976799999999997</v>
      </c>
      <c r="J236" s="28">
        <v>1.23898</v>
      </c>
      <c r="K236" s="29">
        <v>15.477</v>
      </c>
      <c r="L236" s="29">
        <v>133.11099999999999</v>
      </c>
      <c r="M236" s="29">
        <v>5.3319999999999999</v>
      </c>
      <c r="N236" s="28"/>
      <c r="O236" s="28"/>
      <c r="P236" s="28"/>
      <c r="Q236" s="28"/>
      <c r="R236" s="28"/>
      <c r="S236" s="28"/>
      <c r="T236" s="28"/>
    </row>
    <row r="237" spans="1:20" x14ac:dyDescent="0.3">
      <c r="A237" s="28" t="s">
        <v>89</v>
      </c>
      <c r="B237" s="28">
        <v>2018</v>
      </c>
      <c r="C237" s="28">
        <v>56.542000000000002</v>
      </c>
      <c r="D237" s="29">
        <v>97.061300000000003</v>
      </c>
      <c r="E237" s="28">
        <v>2.4</v>
      </c>
      <c r="F237" s="29">
        <v>6.9732412367799101</v>
      </c>
      <c r="G237" s="29">
        <v>116926.759593904</v>
      </c>
      <c r="H237" s="29">
        <v>1.61129561338168</v>
      </c>
      <c r="I237" s="29">
        <v>36.885300000000001</v>
      </c>
      <c r="J237" s="28">
        <v>1.1718</v>
      </c>
      <c r="K237" s="29">
        <v>14.182</v>
      </c>
      <c r="L237" s="29">
        <v>131.327</v>
      </c>
      <c r="M237" s="29">
        <v>5.5709999999999997</v>
      </c>
      <c r="N237" s="28"/>
      <c r="O237" s="28"/>
      <c r="P237" s="28"/>
      <c r="Q237" s="28"/>
      <c r="R237" s="28"/>
      <c r="S237" s="28"/>
      <c r="T237" s="28"/>
    </row>
    <row r="238" spans="1:20" x14ac:dyDescent="0.3">
      <c r="A238" s="28" t="s">
        <v>89</v>
      </c>
      <c r="B238" s="28">
        <v>2019</v>
      </c>
      <c r="C238" s="28">
        <v>57.249000000000002</v>
      </c>
      <c r="D238" s="29">
        <v>97.120599999999996</v>
      </c>
      <c r="E238" s="28">
        <v>2.21</v>
      </c>
      <c r="F238" s="29">
        <v>6.5735699428801802</v>
      </c>
      <c r="G238" s="29">
        <v>112696.649059674</v>
      </c>
      <c r="H238" s="29">
        <v>2.74931929072658</v>
      </c>
      <c r="I238" s="29">
        <v>37.3611</v>
      </c>
      <c r="J238" s="28">
        <v>1.18177</v>
      </c>
      <c r="K238" s="29">
        <v>16.977</v>
      </c>
      <c r="L238" s="29">
        <v>131.87</v>
      </c>
      <c r="M238" s="29">
        <v>6.2370000000000001</v>
      </c>
      <c r="N238" s="28"/>
      <c r="O238" s="28"/>
      <c r="P238" s="28"/>
      <c r="Q238" s="28"/>
      <c r="R238" s="28"/>
      <c r="S238" s="28"/>
      <c r="T238" s="28"/>
    </row>
    <row r="239" spans="1:20" x14ac:dyDescent="0.3">
      <c r="A239" s="28" t="s">
        <v>89</v>
      </c>
      <c r="B239" s="28">
        <v>2020</v>
      </c>
      <c r="C239" s="28">
        <v>56.677</v>
      </c>
      <c r="D239" s="29">
        <v>98.459599999999995</v>
      </c>
      <c r="E239" s="28">
        <v>1.74</v>
      </c>
      <c r="F239" s="29">
        <v>5.6192385499566297</v>
      </c>
      <c r="G239" s="29">
        <v>116860.028172359</v>
      </c>
      <c r="H239" s="29">
        <v>-0.51005163403982501</v>
      </c>
      <c r="I239" s="29">
        <v>37.296100000000003</v>
      </c>
      <c r="J239" s="28">
        <v>1.0958399999999999</v>
      </c>
      <c r="K239" s="29">
        <v>23.181999999999999</v>
      </c>
      <c r="L239" s="29">
        <v>132.90899999999999</v>
      </c>
      <c r="M239" s="29">
        <v>6.8789999999999996</v>
      </c>
      <c r="N239" s="28"/>
      <c r="O239" s="28"/>
      <c r="P239" s="28"/>
      <c r="Q239" s="28"/>
      <c r="R239" s="28"/>
      <c r="S239" s="28"/>
      <c r="T239" s="28"/>
    </row>
    <row r="240" spans="1:20" x14ac:dyDescent="0.3">
      <c r="A240" s="28" t="s">
        <v>89</v>
      </c>
      <c r="B240" s="28">
        <v>2021</v>
      </c>
      <c r="C240" s="28">
        <v>58.744999999999997</v>
      </c>
      <c r="D240" s="29">
        <v>98.660899999999998</v>
      </c>
      <c r="E240" s="28">
        <v>1.68</v>
      </c>
      <c r="F240" s="29">
        <v>6.0752020682150896</v>
      </c>
      <c r="G240" s="29">
        <v>134965.81544215101</v>
      </c>
      <c r="H240" s="29">
        <v>6.9297342584232897</v>
      </c>
      <c r="I240" s="29">
        <v>38.04</v>
      </c>
      <c r="J240" s="28">
        <v>1.0411999999999999</v>
      </c>
      <c r="K240" s="29">
        <v>18.666</v>
      </c>
      <c r="L240" s="29">
        <v>136.87100000000001</v>
      </c>
      <c r="M240" s="29">
        <v>5.4489999999999998</v>
      </c>
      <c r="N240" s="28"/>
      <c r="O240" s="28"/>
      <c r="P240" s="28"/>
      <c r="Q240" s="28"/>
      <c r="R240" s="28"/>
      <c r="S240" s="28"/>
      <c r="T240" s="28"/>
    </row>
    <row r="241" spans="1:20" x14ac:dyDescent="0.3">
      <c r="A241" s="28" t="s">
        <v>89</v>
      </c>
      <c r="B241" s="28">
        <v>2022</v>
      </c>
      <c r="C241" s="28">
        <v>58.731999999999999</v>
      </c>
      <c r="D241" s="29">
        <v>98.242000000000004</v>
      </c>
      <c r="E241" s="28">
        <v>1.24</v>
      </c>
      <c r="F241" s="29">
        <v>5.99046038936579</v>
      </c>
      <c r="G241" s="29">
        <v>123719.658915996</v>
      </c>
      <c r="H241" s="29">
        <v>-1.0974168968152</v>
      </c>
      <c r="I241" s="29">
        <v>38.326999999999998</v>
      </c>
      <c r="J241" s="28">
        <v>0.97653000000000001</v>
      </c>
      <c r="K241" s="29">
        <v>17.599</v>
      </c>
      <c r="L241" s="29">
        <v>139.65100000000001</v>
      </c>
      <c r="M241" s="29">
        <v>4.0359999999999996</v>
      </c>
      <c r="N241" s="28"/>
      <c r="O241" s="28"/>
      <c r="P241" s="28"/>
      <c r="Q241" s="28"/>
      <c r="R241" s="28"/>
      <c r="S241" s="28"/>
      <c r="T241" s="28"/>
    </row>
    <row r="242" spans="1:20" x14ac:dyDescent="0.3">
      <c r="A242" s="22" t="s">
        <v>88</v>
      </c>
      <c r="B242" s="22">
        <v>2007</v>
      </c>
      <c r="C242" s="22">
        <f t="array" ref="C242:C257">TRANSPOSE(EMPLOYrate!D19:S19)</f>
        <v>56.609000000000002</v>
      </c>
      <c r="D242" s="23" cm="1">
        <f t="array" ref="D242:D257">TRANSPOSE(ictuse!D19:S19)</f>
        <v>59.17</v>
      </c>
      <c r="E242" s="22">
        <f t="array" ref="E242:E257">TRANSPOSE(ictgoods!D14:S14)</f>
        <v>3.42</v>
      </c>
      <c r="F242" s="23" cm="1">
        <f t="array" ref="F242:F257">TRANSPOSE(hightechmanu!C20:R20)</f>
        <v>7.4278091265413098</v>
      </c>
      <c r="G242" s="23" cm="1">
        <f t="array" ref="G242:G257">TRANSPOSE(gdppercapita!D17:S17)</f>
        <v>13370.978945250699</v>
      </c>
      <c r="H242" s="23" cm="1">
        <f t="array" ref="H242:H257">TRANSPOSE(gdpannual!D14:S14)</f>
        <v>10.4145372792714</v>
      </c>
      <c r="I242" s="23" cm="1">
        <f t="array" ref="I242:I257">TRANSPOSE(fixedbroadband!D24:S24)</f>
        <v>15.383599999999999</v>
      </c>
      <c r="J242" s="22" cm="1">
        <f t="array" ref="J242:J257">TRANSPOSE(rdexpediture!D26:S26)</f>
        <v>0.55106999999999995</v>
      </c>
      <c r="K242" s="23" cm="1">
        <f t="array" ref="K242:K257">TRANSPOSE(YOUTH_EMPLOY!D20:S20)</f>
        <v>10.56</v>
      </c>
      <c r="L242" s="23">
        <f t="array" ref="L242:L257">TRANSPOSE(mobile_celular!D18:S2718)</f>
        <v>100.738</v>
      </c>
      <c r="M242" s="23">
        <f t="array" ref="M242:M257">TRANSPOSE(unemployEAD!C20:R20)</f>
        <v>5.7789999999999999</v>
      </c>
      <c r="N242" s="22"/>
      <c r="O242" s="22"/>
      <c r="P242" s="22"/>
      <c r="Q242" s="22"/>
      <c r="R242" s="22"/>
      <c r="S242" s="22"/>
      <c r="T242" s="22"/>
    </row>
    <row r="243" spans="1:20" x14ac:dyDescent="0.3">
      <c r="A243" s="22" t="s">
        <v>88</v>
      </c>
      <c r="B243" s="22">
        <v>2008</v>
      </c>
      <c r="C243" s="22">
        <v>56.781999999999996</v>
      </c>
      <c r="D243" s="23">
        <v>63.41</v>
      </c>
      <c r="E243" s="22">
        <v>4.6100000000000003</v>
      </c>
      <c r="F243" s="23">
        <v>7.3942130813454696</v>
      </c>
      <c r="G243" s="23">
        <v>15677.6080864505</v>
      </c>
      <c r="H243" s="23">
        <v>-3.38871665849957</v>
      </c>
      <c r="I243" s="23">
        <v>18.9239</v>
      </c>
      <c r="J243" s="22">
        <v>0.57720000000000005</v>
      </c>
      <c r="K243" s="23">
        <v>13.648</v>
      </c>
      <c r="L243" s="23">
        <v>105.55200000000001</v>
      </c>
      <c r="M243" s="23">
        <v>7.7539999999999996</v>
      </c>
      <c r="N243" s="22"/>
      <c r="O243" s="22"/>
      <c r="P243" s="22"/>
      <c r="Q243" s="22"/>
      <c r="R243" s="22"/>
      <c r="S243" s="22"/>
      <c r="T243" s="22"/>
    </row>
    <row r="244" spans="1:20" x14ac:dyDescent="0.3">
      <c r="A244" s="22" t="s">
        <v>88</v>
      </c>
      <c r="B244" s="22">
        <v>2009</v>
      </c>
      <c r="C244" s="22">
        <v>49.597999999999999</v>
      </c>
      <c r="D244" s="23">
        <v>66.84</v>
      </c>
      <c r="E244" s="22">
        <v>5.64</v>
      </c>
      <c r="F244" s="23">
        <v>8.6615211564386101</v>
      </c>
      <c r="G244" s="23">
        <v>11996.0322729773</v>
      </c>
      <c r="H244" s="23">
        <v>-16.0400195313042</v>
      </c>
      <c r="I244" s="23">
        <v>21.228100000000001</v>
      </c>
      <c r="J244" s="22">
        <v>0.44857999999999998</v>
      </c>
      <c r="K244" s="23">
        <v>33.432000000000002</v>
      </c>
      <c r="L244" s="23">
        <v>107.542</v>
      </c>
      <c r="M244" s="23">
        <v>18.914000000000001</v>
      </c>
      <c r="N244" s="22"/>
      <c r="O244" s="22"/>
      <c r="P244" s="22"/>
      <c r="Q244" s="22"/>
      <c r="R244" s="22"/>
      <c r="S244" s="22"/>
      <c r="T244" s="22"/>
    </row>
    <row r="245" spans="1:20" x14ac:dyDescent="0.3">
      <c r="A245" s="22" t="s">
        <v>88</v>
      </c>
      <c r="B245" s="22">
        <v>2010</v>
      </c>
      <c r="C245" s="22">
        <v>47.411999999999999</v>
      </c>
      <c r="D245" s="23">
        <v>68.42</v>
      </c>
      <c r="E245" s="22">
        <v>5.77</v>
      </c>
      <c r="F245" s="23">
        <v>8.4567844962059393</v>
      </c>
      <c r="G245" s="23">
        <v>11188.419170097601</v>
      </c>
      <c r="H245" s="23">
        <v>-3.6612585955476198</v>
      </c>
      <c r="I245" s="23">
        <v>20.729800000000001</v>
      </c>
      <c r="J245" s="22">
        <v>0.60570999999999997</v>
      </c>
      <c r="K245" s="23">
        <v>36.24</v>
      </c>
      <c r="L245" s="23">
        <v>109.928</v>
      </c>
      <c r="M245" s="23">
        <v>21.09</v>
      </c>
      <c r="N245" s="22"/>
      <c r="O245" s="22"/>
      <c r="P245" s="22"/>
      <c r="Q245" s="22"/>
      <c r="R245" s="22"/>
      <c r="S245" s="22"/>
      <c r="T245" s="22"/>
    </row>
    <row r="246" spans="1:20" x14ac:dyDescent="0.3">
      <c r="A246" s="22" t="s">
        <v>88</v>
      </c>
      <c r="B246" s="22">
        <v>2011</v>
      </c>
      <c r="C246" s="22">
        <v>49.039000000000001</v>
      </c>
      <c r="D246" s="23">
        <v>69.75</v>
      </c>
      <c r="E246" s="22">
        <v>5.39</v>
      </c>
      <c r="F246" s="23">
        <v>9.4708345306432697</v>
      </c>
      <c r="G246" s="23">
        <v>12902.574053337001</v>
      </c>
      <c r="H246" s="23">
        <v>3.0363448266881501</v>
      </c>
      <c r="I246" s="23">
        <v>22.2056</v>
      </c>
      <c r="J246" s="22">
        <v>0.71562000000000003</v>
      </c>
      <c r="K246" s="23">
        <v>31.068999999999999</v>
      </c>
      <c r="L246" s="23">
        <v>112.09099999999999</v>
      </c>
      <c r="M246" s="23">
        <v>18.247</v>
      </c>
      <c r="N246" s="22"/>
      <c r="O246" s="22"/>
      <c r="P246" s="22"/>
      <c r="Q246" s="22"/>
      <c r="R246" s="22"/>
      <c r="S246" s="22"/>
      <c r="T246" s="22"/>
    </row>
    <row r="247" spans="1:20" x14ac:dyDescent="0.3">
      <c r="A247" s="22" t="s">
        <v>88</v>
      </c>
      <c r="B247" s="22">
        <v>2012</v>
      </c>
      <c r="C247" s="22">
        <v>50.74</v>
      </c>
      <c r="D247" s="23">
        <v>73.119900000000001</v>
      </c>
      <c r="E247" s="22">
        <v>6.14</v>
      </c>
      <c r="F247" s="23">
        <v>11.4064111475119</v>
      </c>
      <c r="G247" s="23">
        <v>13329.3499931271</v>
      </c>
      <c r="H247" s="23">
        <v>7.3052405720089597</v>
      </c>
      <c r="I247" s="23">
        <v>23.401800000000001</v>
      </c>
      <c r="J247" s="22">
        <v>0.66307000000000005</v>
      </c>
      <c r="K247" s="23">
        <v>28.564</v>
      </c>
      <c r="L247" s="23">
        <v>129.30500000000001</v>
      </c>
      <c r="M247" s="23">
        <v>17.574999999999999</v>
      </c>
      <c r="N247" s="22"/>
      <c r="O247" s="22"/>
      <c r="P247" s="22"/>
      <c r="Q247" s="22"/>
      <c r="R247" s="22"/>
      <c r="S247" s="22"/>
      <c r="T247" s="22"/>
    </row>
    <row r="248" spans="1:20" x14ac:dyDescent="0.3">
      <c r="A248" s="22" t="s">
        <v>88</v>
      </c>
      <c r="B248" s="22">
        <v>2013</v>
      </c>
      <c r="C248" s="22">
        <v>52.381</v>
      </c>
      <c r="D248" s="23">
        <v>75.234399999999994</v>
      </c>
      <c r="E248" s="22">
        <v>7.67</v>
      </c>
      <c r="F248" s="23">
        <v>15.4178071105596</v>
      </c>
      <c r="G248" s="23">
        <v>14484.4715282132</v>
      </c>
      <c r="H248" s="23">
        <v>2.0960902815624798</v>
      </c>
      <c r="I248" s="23">
        <v>24.639700000000001</v>
      </c>
      <c r="J248" s="22">
        <v>0.61321000000000003</v>
      </c>
      <c r="K248" s="23">
        <v>23.236999999999998</v>
      </c>
      <c r="L248" s="23">
        <v>127.07299999999999</v>
      </c>
      <c r="M248" s="23">
        <v>13.077</v>
      </c>
      <c r="N248" s="22"/>
      <c r="O248" s="22"/>
      <c r="P248" s="22"/>
      <c r="Q248" s="22"/>
      <c r="R248" s="22"/>
      <c r="S248" s="22"/>
      <c r="T248" s="22"/>
    </row>
    <row r="249" spans="1:20" x14ac:dyDescent="0.3">
      <c r="A249" s="22" t="s">
        <v>88</v>
      </c>
      <c r="B249" s="22">
        <v>2014</v>
      </c>
      <c r="C249" s="22">
        <v>52.844000000000001</v>
      </c>
      <c r="D249" s="23">
        <v>75.826099999999997</v>
      </c>
      <c r="E249" s="22">
        <v>9.67</v>
      </c>
      <c r="F249" s="23">
        <v>17.7278751994183</v>
      </c>
      <c r="G249" s="23">
        <v>15185.8145812359</v>
      </c>
      <c r="H249" s="23">
        <v>2.09495977105589</v>
      </c>
      <c r="I249" s="23">
        <v>25.324100000000001</v>
      </c>
      <c r="J249" s="22">
        <v>0.68908000000000003</v>
      </c>
      <c r="K249" s="23">
        <v>19.594999999999999</v>
      </c>
      <c r="L249" s="23">
        <v>119.55</v>
      </c>
      <c r="M249" s="23">
        <v>11.669</v>
      </c>
      <c r="N249" s="22"/>
      <c r="O249" s="22"/>
      <c r="P249" s="22"/>
      <c r="Q249" s="22"/>
      <c r="R249" s="22"/>
      <c r="S249" s="22"/>
      <c r="T249" s="22"/>
    </row>
    <row r="250" spans="1:20" x14ac:dyDescent="0.3">
      <c r="A250" s="22" t="s">
        <v>88</v>
      </c>
      <c r="B250" s="22">
        <v>2015</v>
      </c>
      <c r="C250" s="22">
        <v>54.134999999999998</v>
      </c>
      <c r="D250" s="23">
        <v>79.200599999999994</v>
      </c>
      <c r="E250" s="22">
        <v>11.36</v>
      </c>
      <c r="F250" s="23">
        <v>18.9164507233865</v>
      </c>
      <c r="G250" s="23">
        <v>13321.975314061499</v>
      </c>
      <c r="H250" s="23">
        <v>3.7833671208497099</v>
      </c>
      <c r="I250" s="23">
        <v>25.456900000000001</v>
      </c>
      <c r="J250" s="22">
        <v>0.61939999999999995</v>
      </c>
      <c r="K250" s="23">
        <v>16.315999999999999</v>
      </c>
      <c r="L250" s="23">
        <v>130.94900000000001</v>
      </c>
      <c r="M250" s="23">
        <v>10.837999999999999</v>
      </c>
      <c r="N250" s="22"/>
      <c r="O250" s="22"/>
      <c r="P250" s="22"/>
      <c r="Q250" s="22"/>
      <c r="R250" s="22"/>
      <c r="S250" s="22"/>
      <c r="T250" s="22"/>
    </row>
    <row r="251" spans="1:20" x14ac:dyDescent="0.3">
      <c r="A251" s="22" t="s">
        <v>88</v>
      </c>
      <c r="B251" s="22">
        <v>2016</v>
      </c>
      <c r="C251" s="22">
        <v>54.591999999999999</v>
      </c>
      <c r="D251" s="23">
        <v>79.842100000000002</v>
      </c>
      <c r="E251" s="22">
        <v>10.47</v>
      </c>
      <c r="F251" s="23">
        <v>17.234403275222899</v>
      </c>
      <c r="G251" s="23">
        <v>13838.5266823272</v>
      </c>
      <c r="H251" s="23">
        <v>2.5516860197403402</v>
      </c>
      <c r="I251" s="23">
        <v>26.4893</v>
      </c>
      <c r="J251" s="22">
        <v>0.43514000000000003</v>
      </c>
      <c r="K251" s="23">
        <v>17.271000000000001</v>
      </c>
      <c r="L251" s="23">
        <v>135.227</v>
      </c>
      <c r="M251" s="23">
        <v>11.304</v>
      </c>
      <c r="N251" s="22"/>
      <c r="O251" s="22"/>
      <c r="P251" s="22"/>
      <c r="Q251" s="22"/>
      <c r="R251" s="22"/>
      <c r="S251" s="22"/>
      <c r="T251" s="22"/>
    </row>
    <row r="252" spans="1:20" x14ac:dyDescent="0.3">
      <c r="A252" s="22" t="s">
        <v>88</v>
      </c>
      <c r="B252" s="22">
        <v>2017</v>
      </c>
      <c r="C252" s="22">
        <v>55.53</v>
      </c>
      <c r="D252" s="23">
        <v>80.114099999999993</v>
      </c>
      <c r="E252" s="22">
        <v>9.23</v>
      </c>
      <c r="F252" s="23">
        <v>18.175614626687398</v>
      </c>
      <c r="G252" s="23">
        <v>15132.495833398099</v>
      </c>
      <c r="H252" s="23">
        <v>3.3989487262393099</v>
      </c>
      <c r="I252" s="23">
        <v>27.0886</v>
      </c>
      <c r="J252" s="22">
        <v>0.51104000000000005</v>
      </c>
      <c r="K252" s="23">
        <v>16.971</v>
      </c>
      <c r="L252" s="23">
        <v>126.84699999999999</v>
      </c>
      <c r="M252" s="23">
        <v>10.195</v>
      </c>
      <c r="N252" s="22"/>
      <c r="O252" s="22"/>
      <c r="P252" s="22"/>
      <c r="Q252" s="22"/>
      <c r="R252" s="22"/>
      <c r="S252" s="22"/>
      <c r="T252" s="22"/>
    </row>
    <row r="253" spans="1:20" x14ac:dyDescent="0.3">
      <c r="A253" s="22" t="s">
        <v>88</v>
      </c>
      <c r="B253" s="22">
        <v>2018</v>
      </c>
      <c r="C253" s="22">
        <v>56.886000000000003</v>
      </c>
      <c r="D253" s="23">
        <v>83.577200000000005</v>
      </c>
      <c r="E253" s="22">
        <v>8.44</v>
      </c>
      <c r="F253" s="23">
        <v>21.5432221438864</v>
      </c>
      <c r="G253" s="23">
        <v>17252.171042862501</v>
      </c>
      <c r="H253" s="23">
        <v>4.3097128629450303</v>
      </c>
      <c r="I253" s="23">
        <v>27.287700000000001</v>
      </c>
      <c r="J253" s="22">
        <v>0.63868999999999998</v>
      </c>
      <c r="K253" s="23">
        <v>12.192</v>
      </c>
      <c r="L253" s="23">
        <v>107.39700000000001</v>
      </c>
      <c r="M253" s="23">
        <v>8.4930000000000003</v>
      </c>
      <c r="N253" s="22"/>
      <c r="O253" s="22"/>
      <c r="P253" s="22"/>
      <c r="Q253" s="22"/>
      <c r="R253" s="22"/>
      <c r="S253" s="22"/>
      <c r="T253" s="22"/>
    </row>
    <row r="254" spans="1:20" x14ac:dyDescent="0.3">
      <c r="A254" s="22" t="s">
        <v>88</v>
      </c>
      <c r="B254" s="22">
        <v>2019</v>
      </c>
      <c r="C254" s="22">
        <v>57.363</v>
      </c>
      <c r="D254" s="23">
        <v>86.135499999999993</v>
      </c>
      <c r="E254" s="22">
        <v>8.94</v>
      </c>
      <c r="F254" s="23">
        <v>17.116371499338701</v>
      </c>
      <c r="G254" s="23">
        <v>17294.975160096899</v>
      </c>
      <c r="H254" s="23">
        <v>0.67537277188422695</v>
      </c>
      <c r="I254" s="23">
        <v>26.585899999999999</v>
      </c>
      <c r="J254" s="22">
        <v>0.63846999999999998</v>
      </c>
      <c r="K254" s="23">
        <v>12.414999999999999</v>
      </c>
      <c r="L254" s="23">
        <v>108.22199999999999</v>
      </c>
      <c r="M254" s="23">
        <v>7.0869999999999997</v>
      </c>
      <c r="N254" s="22"/>
      <c r="O254" s="22"/>
      <c r="P254" s="22"/>
      <c r="Q254" s="22"/>
      <c r="R254" s="22"/>
      <c r="S254" s="22"/>
      <c r="T254" s="22"/>
    </row>
    <row r="255" spans="1:20" x14ac:dyDescent="0.3">
      <c r="A255" s="22" t="s">
        <v>88</v>
      </c>
      <c r="B255" s="22">
        <v>2020</v>
      </c>
      <c r="C255" s="22">
        <v>56.68</v>
      </c>
      <c r="D255" s="23">
        <v>88.897999999999996</v>
      </c>
      <c r="E255" s="22">
        <v>10.94</v>
      </c>
      <c r="F255" s="23">
        <v>20.036483570502401</v>
      </c>
      <c r="G255" s="23">
        <v>17564.232154935398</v>
      </c>
      <c r="H255" s="23">
        <v>-3.4692275078055399</v>
      </c>
      <c r="I255" s="23">
        <v>25.804200000000002</v>
      </c>
      <c r="J255" s="22">
        <v>0.73438999999999999</v>
      </c>
      <c r="K255" s="23">
        <v>14.868</v>
      </c>
      <c r="L255" s="23">
        <v>107.902</v>
      </c>
      <c r="M255" s="23">
        <v>8.7590000000000003</v>
      </c>
      <c r="N255" s="22"/>
      <c r="O255" s="22"/>
      <c r="P255" s="22"/>
      <c r="Q255" s="22"/>
      <c r="R255" s="22"/>
      <c r="S255" s="22"/>
      <c r="T255" s="22"/>
    </row>
    <row r="256" spans="1:20" x14ac:dyDescent="0.3">
      <c r="A256" s="22" t="s">
        <v>88</v>
      </c>
      <c r="B256" s="22">
        <v>2021</v>
      </c>
      <c r="C256" s="22">
        <v>55.664000000000001</v>
      </c>
      <c r="D256" s="23">
        <v>91.179599999999994</v>
      </c>
      <c r="E256" s="22">
        <v>8.89</v>
      </c>
      <c r="F256" s="23">
        <v>16.980371363084199</v>
      </c>
      <c r="G256" s="23">
        <v>20261.8887788916</v>
      </c>
      <c r="H256" s="23">
        <v>6.9425417306259103</v>
      </c>
      <c r="I256" s="23">
        <v>25.976199999999999</v>
      </c>
      <c r="J256" s="22">
        <v>0.74621999999999999</v>
      </c>
      <c r="K256" s="23">
        <v>14.785</v>
      </c>
      <c r="L256" s="23">
        <v>114.645</v>
      </c>
      <c r="M256" s="23">
        <v>8.82</v>
      </c>
      <c r="N256" s="22"/>
      <c r="O256" s="22"/>
      <c r="P256" s="22"/>
      <c r="Q256" s="22"/>
      <c r="R256" s="22"/>
      <c r="S256" s="22"/>
      <c r="T256" s="22"/>
    </row>
    <row r="257" spans="1:20" x14ac:dyDescent="0.3">
      <c r="A257" s="22" t="s">
        <v>88</v>
      </c>
      <c r="B257" s="22">
        <v>2022</v>
      </c>
      <c r="C257" s="22">
        <v>56.972999999999999</v>
      </c>
      <c r="D257" s="23">
        <v>91.030100000000004</v>
      </c>
      <c r="E257" s="22">
        <v>7.28</v>
      </c>
      <c r="F257" s="23">
        <v>17.331386844879201</v>
      </c>
      <c r="G257" s="23">
        <v>20221.103686109</v>
      </c>
      <c r="H257" s="23">
        <v>1.90853419029801</v>
      </c>
      <c r="I257" s="23">
        <v>25.9892</v>
      </c>
      <c r="J257" s="22">
        <v>0.76382000000000005</v>
      </c>
      <c r="K257" s="23">
        <v>15.27</v>
      </c>
      <c r="L257" s="23">
        <v>115.203</v>
      </c>
      <c r="M257" s="23">
        <v>7.766</v>
      </c>
      <c r="N257" s="22"/>
      <c r="O257" s="22"/>
      <c r="P257" s="22"/>
      <c r="Q257" s="22"/>
      <c r="R257" s="22"/>
      <c r="S257" s="22"/>
      <c r="T257" s="22"/>
    </row>
    <row r="258" spans="1:20" x14ac:dyDescent="0.3">
      <c r="A258" s="30" t="s">
        <v>87</v>
      </c>
      <c r="B258" s="30">
        <v>2007</v>
      </c>
      <c r="C258" s="30">
        <f t="array" ref="C258:C273">TRANSPOSE(EMPLOYrate!D2:S2)</f>
        <v>46.625999999999998</v>
      </c>
      <c r="D258" s="31" cm="1">
        <f t="array" ref="D258:D273">TRANSPOSE(ictuse!D20:S20)</f>
        <v>46.9</v>
      </c>
      <c r="E258" s="30">
        <f t="array" ref="E258:E273">TRANSPOSE(ictgoods!D28:S28)</f>
        <v>46.22</v>
      </c>
      <c r="F258" s="31" cm="1">
        <f t="array" ref="F258:F273">TRANSPOSE(hightechmanu!C21:R21)</f>
        <v>53.0192892459335</v>
      </c>
      <c r="G258" s="31" cm="1">
        <f t="array" ref="G258:G273">TRANSPOSE(gdppercapita!D20:S20)</f>
        <v>19444.174195838099</v>
      </c>
      <c r="H258" s="31" cm="1">
        <f t="array" ref="H258:H273">TRANSPOSE(gdpannual!D12:S12)</f>
        <v>5.0364016813697097</v>
      </c>
      <c r="I258" s="31" cm="1">
        <f t="array" ref="I258:I273">TRANSPOSE(fixedbroadband!D25:S25)</f>
        <v>20.130099999999999</v>
      </c>
      <c r="J258" s="30" cm="1">
        <f t="array" ref="J258:J273">TRANSPOSE(rdexpediture!D27:S27)</f>
        <v>0.5454</v>
      </c>
      <c r="K258" s="31" cm="1">
        <f t="array" ref="K258:K273">TRANSPOSE(YOUTH_EMPLOY!D21:S21)</f>
        <v>13.489000000000001</v>
      </c>
      <c r="L258" s="31">
        <f t="array" ref="L258:L273">TRANSPOSE(mobile_celular!D7:S7)</f>
        <v>88.334800000000001</v>
      </c>
      <c r="M258" s="31">
        <f t="array" ref="M258:M273">TRANSPOSE(unemployEAD!C21:R21)</f>
        <v>5.056</v>
      </c>
      <c r="N258" s="30"/>
      <c r="O258" s="30"/>
      <c r="P258" s="30"/>
      <c r="Q258" s="30"/>
      <c r="R258" s="30"/>
      <c r="S258" s="30"/>
      <c r="T258" s="30"/>
    </row>
    <row r="259" spans="1:20" x14ac:dyDescent="0.3">
      <c r="A259" s="30" t="s">
        <v>87</v>
      </c>
      <c r="B259" s="30">
        <v>2008</v>
      </c>
      <c r="C259" s="30">
        <v>47.054000000000002</v>
      </c>
      <c r="D259" s="31">
        <v>50.08</v>
      </c>
      <c r="E259" s="30">
        <v>43.19</v>
      </c>
      <c r="F259" s="31">
        <v>50.442265883756299</v>
      </c>
      <c r="G259" s="31">
        <v>22315.3104212988</v>
      </c>
      <c r="H259" s="31">
        <v>4.4105966058433799</v>
      </c>
      <c r="I259" s="31">
        <v>23.4406</v>
      </c>
      <c r="J259" s="30">
        <v>0.52666999999999997</v>
      </c>
      <c r="K259" s="31">
        <v>11.617000000000001</v>
      </c>
      <c r="L259" s="31">
        <v>92.043999999999997</v>
      </c>
      <c r="M259" s="31">
        <v>4.1879999999999997</v>
      </c>
      <c r="N259" s="30"/>
      <c r="O259" s="30"/>
      <c r="P259" s="30"/>
      <c r="Q259" s="30"/>
      <c r="R259" s="30"/>
      <c r="S259" s="30"/>
      <c r="T259" s="30"/>
    </row>
    <row r="260" spans="1:20" x14ac:dyDescent="0.3">
      <c r="A260" s="30" t="s">
        <v>87</v>
      </c>
      <c r="B260" s="30">
        <v>2009</v>
      </c>
      <c r="C260" s="30">
        <v>49.957000000000001</v>
      </c>
      <c r="D260" s="31">
        <v>58.86</v>
      </c>
      <c r="E260" s="30">
        <v>42.31</v>
      </c>
      <c r="F260" s="31">
        <v>48.027077803910402</v>
      </c>
      <c r="G260" s="31">
        <v>21176.321826267202</v>
      </c>
      <c r="H260" s="31">
        <v>-1.3952497347108701</v>
      </c>
      <c r="I260" s="31">
        <v>27.009799999999998</v>
      </c>
      <c r="J260" s="30">
        <v>0.50739000000000001</v>
      </c>
      <c r="K260" s="31">
        <v>14.491</v>
      </c>
      <c r="L260" s="31">
        <v>100.306</v>
      </c>
      <c r="M260" s="31">
        <v>5.6260000000000003</v>
      </c>
      <c r="N260" s="30"/>
      <c r="O260" s="30"/>
      <c r="P260" s="30"/>
      <c r="Q260" s="30"/>
      <c r="R260" s="30"/>
      <c r="S260" s="30"/>
      <c r="T260" s="30"/>
    </row>
    <row r="261" spans="1:20" x14ac:dyDescent="0.3">
      <c r="A261" s="30" t="s">
        <v>87</v>
      </c>
      <c r="B261" s="30">
        <v>2010</v>
      </c>
      <c r="C261" s="30">
        <v>50.557000000000002</v>
      </c>
      <c r="D261" s="31">
        <v>63</v>
      </c>
      <c r="E261" s="30">
        <v>30.87</v>
      </c>
      <c r="F261" s="31">
        <v>47.171165194607902</v>
      </c>
      <c r="G261" s="31">
        <v>21946.606963602899</v>
      </c>
      <c r="H261" s="31">
        <v>6.19735041110465</v>
      </c>
      <c r="I261" s="31">
        <v>29.785599999999999</v>
      </c>
      <c r="J261" s="30">
        <v>0.58740999999999999</v>
      </c>
      <c r="K261" s="31">
        <v>13.228999999999999</v>
      </c>
      <c r="L261" s="31">
        <v>107.791</v>
      </c>
      <c r="M261" s="31">
        <v>5.85</v>
      </c>
      <c r="N261" s="30"/>
      <c r="O261" s="30"/>
      <c r="P261" s="30"/>
      <c r="Q261" s="30"/>
      <c r="R261" s="30"/>
      <c r="S261" s="30"/>
      <c r="T261" s="30"/>
    </row>
    <row r="262" spans="1:20" x14ac:dyDescent="0.3">
      <c r="A262" s="30" t="s">
        <v>87</v>
      </c>
      <c r="B262" s="30">
        <v>2011</v>
      </c>
      <c r="C262" s="30">
        <v>51.631</v>
      </c>
      <c r="D262" s="31">
        <v>68.019800000000004</v>
      </c>
      <c r="E262" s="30">
        <v>22.89</v>
      </c>
      <c r="F262" s="31">
        <v>47.412867479617702</v>
      </c>
      <c r="G262" s="31">
        <v>23516.969123430201</v>
      </c>
      <c r="H262" s="31">
        <v>0.99220191192281904</v>
      </c>
      <c r="I262" s="31">
        <v>30.303699999999999</v>
      </c>
      <c r="J262" s="30">
        <v>0.66505999999999998</v>
      </c>
      <c r="K262" s="31">
        <v>13.324999999999999</v>
      </c>
      <c r="L262" s="31">
        <v>122.872</v>
      </c>
      <c r="M262" s="31">
        <v>5.4470000000000001</v>
      </c>
      <c r="N262" s="30"/>
      <c r="O262" s="30"/>
      <c r="P262" s="30"/>
      <c r="Q262" s="30"/>
      <c r="R262" s="30"/>
      <c r="S262" s="30"/>
      <c r="T262" s="30"/>
    </row>
    <row r="263" spans="1:20" x14ac:dyDescent="0.3">
      <c r="A263" s="30" t="s">
        <v>87</v>
      </c>
      <c r="B263" s="30">
        <v>2012</v>
      </c>
      <c r="C263" s="30">
        <v>53.067999999999998</v>
      </c>
      <c r="D263" s="31">
        <v>68.1999</v>
      </c>
      <c r="E263" s="30">
        <v>20.2</v>
      </c>
      <c r="F263" s="31">
        <v>45.949396395033901</v>
      </c>
      <c r="G263" s="31">
        <v>22878.313086652099</v>
      </c>
      <c r="H263" s="31">
        <v>4.1016739224141201</v>
      </c>
      <c r="I263" s="31">
        <v>31.822399999999998</v>
      </c>
      <c r="J263" s="30">
        <v>0.80432000000000003</v>
      </c>
      <c r="K263" s="31">
        <v>13.824999999999999</v>
      </c>
      <c r="L263" s="31">
        <v>124.75700000000001</v>
      </c>
      <c r="M263" s="31">
        <v>4.4720000000000004</v>
      </c>
      <c r="N263" s="30"/>
      <c r="O263" s="30"/>
      <c r="P263" s="30"/>
      <c r="Q263" s="30"/>
      <c r="R263" s="30"/>
      <c r="S263" s="30"/>
      <c r="T263" s="30"/>
    </row>
    <row r="264" spans="1:20" x14ac:dyDescent="0.3">
      <c r="A264" s="30" t="s">
        <v>87</v>
      </c>
      <c r="B264" s="30">
        <v>2013</v>
      </c>
      <c r="C264" s="30">
        <v>54.780999999999999</v>
      </c>
      <c r="D264" s="31">
        <v>68.913799999999995</v>
      </c>
      <c r="E264" s="30">
        <v>18.8</v>
      </c>
      <c r="F264" s="31">
        <v>38.710599422737303</v>
      </c>
      <c r="G264" s="31">
        <v>25415.556686773099</v>
      </c>
      <c r="H264" s="31">
        <v>6.2923337586699803</v>
      </c>
      <c r="I264" s="31">
        <v>33.378300000000003</v>
      </c>
      <c r="J264" s="30">
        <v>0.74336000000000002</v>
      </c>
      <c r="K264" s="31">
        <v>12.71</v>
      </c>
      <c r="L264" s="31">
        <v>129.922</v>
      </c>
      <c r="M264" s="31">
        <v>4.2409999999999997</v>
      </c>
      <c r="N264" s="30"/>
      <c r="O264" s="30"/>
      <c r="P264" s="30"/>
      <c r="Q264" s="30"/>
      <c r="R264" s="30"/>
      <c r="S264" s="30"/>
      <c r="T264" s="30"/>
    </row>
    <row r="265" spans="1:20" x14ac:dyDescent="0.3">
      <c r="A265" s="30" t="s">
        <v>87</v>
      </c>
      <c r="B265" s="30">
        <v>2014</v>
      </c>
      <c r="C265" s="30">
        <v>56.222000000000001</v>
      </c>
      <c r="D265" s="31">
        <v>73.114099999999993</v>
      </c>
      <c r="E265" s="30">
        <v>15.17</v>
      </c>
      <c r="F265" s="31">
        <v>34.7084179812082</v>
      </c>
      <c r="G265" s="31">
        <v>27424.576564669402</v>
      </c>
      <c r="H265" s="31">
        <v>7.63136360845896</v>
      </c>
      <c r="I265" s="31">
        <v>34.881999999999998</v>
      </c>
      <c r="J265" s="30">
        <v>0.69179000000000002</v>
      </c>
      <c r="K265" s="31">
        <v>11.677</v>
      </c>
      <c r="L265" s="31">
        <v>125.71899999999999</v>
      </c>
      <c r="M265" s="31">
        <v>3.9089999999999998</v>
      </c>
      <c r="N265" s="30"/>
      <c r="O265" s="30"/>
      <c r="P265" s="30"/>
      <c r="Q265" s="30"/>
      <c r="R265" s="30"/>
      <c r="S265" s="30"/>
      <c r="T265" s="30"/>
    </row>
    <row r="266" spans="1:20" x14ac:dyDescent="0.3">
      <c r="A266" s="30" t="s">
        <v>87</v>
      </c>
      <c r="B266" s="30">
        <v>2015</v>
      </c>
      <c r="C266" s="30">
        <v>56.972000000000001</v>
      </c>
      <c r="D266" s="31">
        <v>75.959999999999994</v>
      </c>
      <c r="E266" s="30">
        <v>14.9</v>
      </c>
      <c r="F266" s="31">
        <v>30.7947211780704</v>
      </c>
      <c r="G266" s="31">
        <v>25529.681333771601</v>
      </c>
      <c r="H266" s="31">
        <v>9.6207031576496291</v>
      </c>
      <c r="I266" s="31">
        <v>36.6768</v>
      </c>
      <c r="J266" s="30">
        <v>0.71514999999999995</v>
      </c>
      <c r="K266" s="31">
        <v>11.653</v>
      </c>
      <c r="L266" s="31">
        <v>117.794</v>
      </c>
      <c r="M266" s="31">
        <v>3.8140000000000001</v>
      </c>
      <c r="N266" s="30"/>
      <c r="O266" s="30"/>
      <c r="P266" s="30"/>
      <c r="Q266" s="30"/>
      <c r="R266" s="30"/>
      <c r="S266" s="30"/>
      <c r="T266" s="30"/>
    </row>
    <row r="267" spans="1:20" x14ac:dyDescent="0.3">
      <c r="A267" s="30" t="s">
        <v>87</v>
      </c>
      <c r="B267" s="30">
        <v>2016</v>
      </c>
      <c r="C267" s="30">
        <v>58.436999999999998</v>
      </c>
      <c r="D267" s="31">
        <v>78.075100000000006</v>
      </c>
      <c r="E267" s="30">
        <v>13.22</v>
      </c>
      <c r="F267" s="31">
        <v>21.933254968022801</v>
      </c>
      <c r="G267" s="31">
        <v>26459.077092998701</v>
      </c>
      <c r="H267" s="31">
        <v>4.0780035593219504</v>
      </c>
      <c r="I267" s="31">
        <v>37.618000000000002</v>
      </c>
      <c r="J267" s="30">
        <v>0.55689</v>
      </c>
      <c r="K267" s="31">
        <v>10.696</v>
      </c>
      <c r="L267" s="31">
        <v>128.59899999999999</v>
      </c>
      <c r="M267" s="31">
        <v>3.8690000000000002</v>
      </c>
      <c r="N267" s="30"/>
      <c r="O267" s="30"/>
      <c r="P267" s="30"/>
      <c r="Q267" s="30"/>
      <c r="R267" s="30"/>
      <c r="S267" s="30"/>
      <c r="T267" s="30"/>
    </row>
    <row r="268" spans="1:20" x14ac:dyDescent="0.3">
      <c r="A268" s="30" t="s">
        <v>87</v>
      </c>
      <c r="B268" s="30">
        <v>2017</v>
      </c>
      <c r="C268" s="30">
        <v>59.99</v>
      </c>
      <c r="D268" s="31">
        <v>81.011899999999997</v>
      </c>
      <c r="E268" s="30">
        <v>13.3</v>
      </c>
      <c r="F268" s="31">
        <v>30.377055477746499</v>
      </c>
      <c r="G268" s="31">
        <v>30317.244317554199</v>
      </c>
      <c r="H268" s="31">
        <v>12.9713424962458</v>
      </c>
      <c r="I268" s="31">
        <v>38.751300000000001</v>
      </c>
      <c r="J268" s="30">
        <v>0.55232000000000003</v>
      </c>
      <c r="K268" s="31">
        <v>10.57</v>
      </c>
      <c r="L268" s="31">
        <v>129.249</v>
      </c>
      <c r="M268" s="31">
        <v>3.47</v>
      </c>
      <c r="N268" s="30"/>
      <c r="O268" s="30"/>
      <c r="P268" s="30"/>
      <c r="Q268" s="30"/>
      <c r="R268" s="30"/>
      <c r="S268" s="30"/>
      <c r="T268" s="30"/>
    </row>
    <row r="269" spans="1:20" x14ac:dyDescent="0.3">
      <c r="A269" s="30" t="s">
        <v>87</v>
      </c>
      <c r="B269" s="30">
        <v>2018</v>
      </c>
      <c r="C269" s="30">
        <v>61.831000000000003</v>
      </c>
      <c r="D269" s="31">
        <v>81.658000000000001</v>
      </c>
      <c r="E269" s="30">
        <v>15.69</v>
      </c>
      <c r="F269" s="31">
        <v>33.070808642130999</v>
      </c>
      <c r="G269" s="31">
        <v>33382.267749926701</v>
      </c>
      <c r="H269" s="31">
        <v>7.18921479603795</v>
      </c>
      <c r="I269" s="31">
        <v>39.589300000000001</v>
      </c>
      <c r="J269" s="30">
        <v>0.57211000000000001</v>
      </c>
      <c r="K269" s="31">
        <v>9.0489999999999995</v>
      </c>
      <c r="L269" s="31">
        <v>127.09399999999999</v>
      </c>
      <c r="M269" s="31">
        <v>3.5049999999999999</v>
      </c>
      <c r="N269" s="30"/>
      <c r="O269" s="30"/>
      <c r="P269" s="30"/>
      <c r="Q269" s="30"/>
      <c r="R269" s="30"/>
      <c r="S269" s="30"/>
      <c r="T269" s="30"/>
    </row>
    <row r="270" spans="1:20" x14ac:dyDescent="0.3">
      <c r="A270" s="30" t="s">
        <v>87</v>
      </c>
      <c r="B270" s="30">
        <v>2019</v>
      </c>
      <c r="C270" s="30">
        <v>62.883000000000003</v>
      </c>
      <c r="D270" s="31">
        <v>85.778599999999997</v>
      </c>
      <c r="E270" s="30">
        <v>13.59</v>
      </c>
      <c r="F270" s="31">
        <v>29.621820456504398</v>
      </c>
      <c r="G270" s="31">
        <v>32421.917975226101</v>
      </c>
      <c r="H270" s="31">
        <v>4.08505582134097</v>
      </c>
      <c r="I270" s="31">
        <v>40.18</v>
      </c>
      <c r="J270" s="30">
        <v>0.55993000000000004</v>
      </c>
      <c r="K270" s="31">
        <v>9.3019999999999996</v>
      </c>
      <c r="L270" s="31">
        <v>125.866</v>
      </c>
      <c r="M270" s="31">
        <v>3.7130000000000001</v>
      </c>
      <c r="N270" s="30"/>
      <c r="O270" s="30"/>
      <c r="P270" s="30"/>
      <c r="Q270" s="30"/>
      <c r="R270" s="30"/>
      <c r="S270" s="30"/>
      <c r="T270" s="30"/>
    </row>
    <row r="271" spans="1:20" x14ac:dyDescent="0.3">
      <c r="A271" s="30" t="s">
        <v>87</v>
      </c>
      <c r="B271" s="30">
        <v>2020</v>
      </c>
      <c r="C271" s="30">
        <v>63.551000000000002</v>
      </c>
      <c r="D271" s="31">
        <v>86.858800000000002</v>
      </c>
      <c r="E271" s="30">
        <v>19.66</v>
      </c>
      <c r="F271" s="31">
        <v>35.337775128513698</v>
      </c>
      <c r="G271" s="31">
        <v>31823.4363934504</v>
      </c>
      <c r="H271" s="31">
        <v>-3.4572827629471101</v>
      </c>
      <c r="I271" s="31">
        <v>41.109400000000001</v>
      </c>
      <c r="J271" s="30">
        <v>0.64566000000000001</v>
      </c>
      <c r="K271" s="31">
        <v>10.872</v>
      </c>
      <c r="L271" s="31">
        <v>122.176</v>
      </c>
      <c r="M271" s="31">
        <v>4.2249999999999996</v>
      </c>
      <c r="N271" s="30"/>
      <c r="O271" s="30"/>
      <c r="P271" s="30"/>
      <c r="Q271" s="30"/>
      <c r="R271" s="30"/>
      <c r="S271" s="30"/>
      <c r="T271" s="30"/>
    </row>
    <row r="272" spans="1:20" x14ac:dyDescent="0.3">
      <c r="A272" s="30" t="s">
        <v>87</v>
      </c>
      <c r="B272" s="30">
        <v>2021</v>
      </c>
      <c r="C272" s="30">
        <v>65.584000000000003</v>
      </c>
      <c r="D272" s="31">
        <v>87.469800000000006</v>
      </c>
      <c r="E272" s="30">
        <v>16.16</v>
      </c>
      <c r="F272" s="31">
        <v>30.735559098231601</v>
      </c>
      <c r="G272" s="31">
        <v>38096.836073511899</v>
      </c>
      <c r="H272" s="31">
        <v>13.4117042939321</v>
      </c>
      <c r="I272" s="31">
        <v>42.183100000000003</v>
      </c>
      <c r="J272" s="30">
        <v>0.65205000000000002</v>
      </c>
      <c r="K272" s="31">
        <v>9.4060000000000006</v>
      </c>
      <c r="L272" s="31">
        <v>123.941</v>
      </c>
      <c r="M272" s="31">
        <v>3.8119999999999998</v>
      </c>
      <c r="N272" s="30"/>
      <c r="O272" s="30"/>
      <c r="P272" s="30"/>
      <c r="Q272" s="30"/>
      <c r="R272" s="30"/>
      <c r="S272" s="30"/>
      <c r="T272" s="30"/>
    </row>
    <row r="273" spans="1:20" x14ac:dyDescent="0.3">
      <c r="A273" s="30" t="s">
        <v>87</v>
      </c>
      <c r="B273" s="30">
        <v>2022</v>
      </c>
      <c r="C273" s="30">
        <v>68.072000000000003</v>
      </c>
      <c r="D273" s="31">
        <v>91.540599999999998</v>
      </c>
      <c r="E273" s="30">
        <v>25.7</v>
      </c>
      <c r="F273" s="31">
        <v>38.961585188618599</v>
      </c>
      <c r="G273" s="31">
        <v>35638.886945740502</v>
      </c>
      <c r="H273" s="31">
        <v>2.4830999383779102</v>
      </c>
      <c r="I273" s="31">
        <v>43.445</v>
      </c>
      <c r="J273" s="30">
        <v>0.60433000000000003</v>
      </c>
      <c r="K273" s="31">
        <v>8.24</v>
      </c>
      <c r="L273" s="31">
        <v>132.86099999999999</v>
      </c>
      <c r="M273" s="31">
        <v>3.4159999999999999</v>
      </c>
      <c r="N273" s="30"/>
      <c r="O273" s="30"/>
      <c r="P273" s="30"/>
      <c r="Q273" s="30"/>
      <c r="R273" s="30"/>
      <c r="S273" s="30"/>
      <c r="T273" s="30"/>
    </row>
    <row r="274" spans="1:20" x14ac:dyDescent="0.3">
      <c r="A274" s="32" t="s">
        <v>86</v>
      </c>
      <c r="B274" s="32">
        <v>2007</v>
      </c>
      <c r="C274" s="32">
        <f t="array" ref="C274:C289">TRANSPOSE(EMPLOYrate!D21:S21)</f>
        <v>48.838999999999999</v>
      </c>
      <c r="D274" s="33" cm="1">
        <f t="array" ref="D274:D289">TRANSPOSE(ictuse!D21:S21)</f>
        <v>48.6</v>
      </c>
      <c r="E274" s="32">
        <f t="array" ref="E274:E289">TRANSPOSE(ictgoods!D17:S17)</f>
        <v>5.68</v>
      </c>
      <c r="F274" s="33" cm="1">
        <f t="array" ref="F274:F289">TRANSPOSE(hightechmanu!C23:R23)</f>
        <v>3.8829614329134401</v>
      </c>
      <c r="G274" s="33" cm="1">
        <f t="array" ref="G274:G289">TRANSPOSE(gdppercapita!D22:S22)</f>
        <v>11272.529368338301</v>
      </c>
      <c r="H274" s="33" cm="1">
        <f t="array" ref="H274:H289">TRANSPOSE(gdpannual!D22:S22)</f>
        <v>6.7604478527625904</v>
      </c>
      <c r="I274" s="33" cm="1">
        <f t="array" ref="I274:I289">TRANSPOSE(fixedbroadband!D15:S15)</f>
        <v>10.978300000000001</v>
      </c>
      <c r="J274" s="32" cm="1">
        <f t="array" ref="J274:J289">TRANSPOSE(rdexpediture!D23:S23)</f>
        <v>0.56193000000000004</v>
      </c>
      <c r="K274" s="33" cm="1">
        <f t="array" ref="K274:K289">TRANSPOSE(YOUTH_EMPLOY!D22:S22)</f>
        <v>21.391999999999999</v>
      </c>
      <c r="L274" s="33">
        <f t="array" ref="L274:L289">TRANSPOSE(mobile_celular!D12:S12)</f>
        <v>108.85899999999999</v>
      </c>
      <c r="M274" s="33">
        <f t="array" ref="M274:M289">TRANSPOSE(unemployEAD!C23:R23)</f>
        <v>10.289</v>
      </c>
      <c r="N274" s="32"/>
      <c r="O274" s="32"/>
      <c r="P274" s="32"/>
      <c r="Q274" s="32"/>
      <c r="R274" s="32"/>
      <c r="S274" s="32"/>
      <c r="T274" s="32"/>
    </row>
    <row r="275" spans="1:20" x14ac:dyDescent="0.3">
      <c r="A275" s="32" t="s">
        <v>86</v>
      </c>
      <c r="B275" s="32">
        <v>2008</v>
      </c>
      <c r="C275" s="32">
        <v>50.688000000000002</v>
      </c>
      <c r="D275" s="33">
        <v>53.13</v>
      </c>
      <c r="E275" s="32">
        <v>6.98</v>
      </c>
      <c r="F275" s="33">
        <v>5.2913273689291698</v>
      </c>
      <c r="G275" s="33">
        <v>14048.560467265301</v>
      </c>
      <c r="H275" s="33">
        <v>4.38377069274605</v>
      </c>
      <c r="I275" s="33">
        <v>11.745200000000001</v>
      </c>
      <c r="J275" s="32">
        <v>0.59943999999999997</v>
      </c>
      <c r="K275" s="33">
        <v>17.097999999999999</v>
      </c>
      <c r="L275" s="33">
        <v>115.608</v>
      </c>
      <c r="M275" s="33">
        <v>7.5330000000000004</v>
      </c>
      <c r="N275" s="32"/>
      <c r="O275" s="32"/>
      <c r="P275" s="32"/>
      <c r="Q275" s="32"/>
      <c r="R275" s="32"/>
      <c r="S275" s="32"/>
      <c r="T275" s="32"/>
    </row>
    <row r="276" spans="1:20" x14ac:dyDescent="0.3">
      <c r="A276" s="32" t="s">
        <v>86</v>
      </c>
      <c r="B276" s="32">
        <v>2009</v>
      </c>
      <c r="C276" s="32">
        <v>50.695999999999998</v>
      </c>
      <c r="D276" s="33">
        <v>58.97</v>
      </c>
      <c r="E276" s="32">
        <v>9.42</v>
      </c>
      <c r="F276" s="33">
        <v>7.0691517634487804</v>
      </c>
      <c r="G276" s="33">
        <v>11556.302686602599</v>
      </c>
      <c r="H276" s="33">
        <v>2.6151285929168302</v>
      </c>
      <c r="I276" s="33">
        <v>14.7255</v>
      </c>
      <c r="J276" s="32">
        <v>0.66105999999999998</v>
      </c>
      <c r="K276" s="33">
        <v>20.472000000000001</v>
      </c>
      <c r="L276" s="33">
        <v>117.90600000000001</v>
      </c>
      <c r="M276" s="33">
        <v>8.718</v>
      </c>
      <c r="N276" s="32"/>
      <c r="O276" s="32"/>
      <c r="P276" s="32"/>
      <c r="Q276" s="32"/>
      <c r="R276" s="32"/>
      <c r="S276" s="32"/>
      <c r="T276" s="32"/>
    </row>
    <row r="277" spans="1:20" x14ac:dyDescent="0.3">
      <c r="A277" s="32" t="s">
        <v>86</v>
      </c>
      <c r="B277" s="32">
        <v>2010</v>
      </c>
      <c r="C277" s="32">
        <v>50.334000000000003</v>
      </c>
      <c r="D277" s="33">
        <v>62.32</v>
      </c>
      <c r="E277" s="32">
        <v>9.6300000000000008</v>
      </c>
      <c r="F277" s="33">
        <v>7.7190895682802703</v>
      </c>
      <c r="G277" s="33">
        <v>12567.731767638101</v>
      </c>
      <c r="H277" s="33">
        <v>3.16892748258035</v>
      </c>
      <c r="I277" s="33">
        <v>15.378500000000001</v>
      </c>
      <c r="J277" s="32">
        <v>0.72619</v>
      </c>
      <c r="K277" s="33">
        <v>23.576000000000001</v>
      </c>
      <c r="L277" s="33">
        <v>123.249</v>
      </c>
      <c r="M277" s="33">
        <v>10.499000000000001</v>
      </c>
      <c r="N277" s="32"/>
      <c r="O277" s="32"/>
      <c r="P277" s="32"/>
      <c r="Q277" s="32"/>
      <c r="R277" s="32"/>
      <c r="S277" s="32"/>
      <c r="T277" s="32"/>
    </row>
    <row r="278" spans="1:20" x14ac:dyDescent="0.3">
      <c r="A278" s="32" t="s">
        <v>86</v>
      </c>
      <c r="B278" s="32">
        <v>2011</v>
      </c>
      <c r="C278" s="32">
        <v>50.54</v>
      </c>
      <c r="D278" s="33">
        <v>61.95</v>
      </c>
      <c r="E278" s="32">
        <v>7.04</v>
      </c>
      <c r="F278" s="33">
        <v>6.6189204142924796</v>
      </c>
      <c r="G278" s="33">
        <v>13867.666940819099</v>
      </c>
      <c r="H278" s="33">
        <v>5.2554625661279601</v>
      </c>
      <c r="I278" s="33">
        <v>18.247499999999999</v>
      </c>
      <c r="J278" s="32">
        <v>0.75221000000000005</v>
      </c>
      <c r="K278" s="33">
        <v>25.529</v>
      </c>
      <c r="L278" s="33">
        <v>131.28</v>
      </c>
      <c r="M278" s="33">
        <v>10.419</v>
      </c>
      <c r="N278" s="32"/>
      <c r="O278" s="32"/>
      <c r="P278" s="32"/>
      <c r="Q278" s="32"/>
      <c r="R278" s="32"/>
      <c r="S278" s="32"/>
      <c r="T278" s="32"/>
    </row>
    <row r="279" spans="1:20" x14ac:dyDescent="0.3">
      <c r="A279" s="32" t="s">
        <v>86</v>
      </c>
      <c r="B279" s="32">
        <v>2012</v>
      </c>
      <c r="C279" s="32">
        <v>50.564</v>
      </c>
      <c r="D279" s="33">
        <v>62.31</v>
      </c>
      <c r="E279" s="32">
        <v>7.04</v>
      </c>
      <c r="F279" s="33">
        <v>7.81151383868806</v>
      </c>
      <c r="G279" s="33">
        <v>13087.4209433209</v>
      </c>
      <c r="H279" s="33">
        <v>1.5117816764457499</v>
      </c>
      <c r="I279" s="33">
        <v>18.007999999999999</v>
      </c>
      <c r="J279" s="32">
        <v>0.88997000000000004</v>
      </c>
      <c r="K279" s="33">
        <v>26.312000000000001</v>
      </c>
      <c r="L279" s="33">
        <v>141.41</v>
      </c>
      <c r="M279" s="33">
        <v>10.965999999999999</v>
      </c>
      <c r="N279" s="32"/>
      <c r="O279" s="32"/>
      <c r="P279" s="32"/>
      <c r="Q279" s="32"/>
      <c r="R279" s="32"/>
      <c r="S279" s="32"/>
      <c r="T279" s="32"/>
    </row>
    <row r="280" spans="1:20" x14ac:dyDescent="0.3">
      <c r="A280" s="32" t="s">
        <v>86</v>
      </c>
      <c r="B280" s="32">
        <v>2013</v>
      </c>
      <c r="C280" s="32">
        <v>50.343000000000004</v>
      </c>
      <c r="D280" s="33">
        <v>62.849200000000003</v>
      </c>
      <c r="E280" s="32">
        <v>6.74</v>
      </c>
      <c r="F280" s="33">
        <v>8.7450176724792197</v>
      </c>
      <c r="G280" s="33">
        <v>13621.902379403</v>
      </c>
      <c r="H280" s="33">
        <v>0.68424060705180501</v>
      </c>
      <c r="I280" s="33">
        <v>18.377400000000002</v>
      </c>
      <c r="J280" s="32">
        <v>0.88483000000000001</v>
      </c>
      <c r="K280" s="33">
        <v>27.155999999999999</v>
      </c>
      <c r="L280" s="33">
        <v>148.91200000000001</v>
      </c>
      <c r="M280" s="33">
        <v>11.388</v>
      </c>
      <c r="N280" s="32"/>
      <c r="O280" s="32"/>
      <c r="P280" s="32"/>
      <c r="Q280" s="32"/>
      <c r="R280" s="32"/>
      <c r="S280" s="32"/>
      <c r="T280" s="32"/>
    </row>
    <row r="281" spans="1:20" x14ac:dyDescent="0.3">
      <c r="A281" s="32" t="s">
        <v>86</v>
      </c>
      <c r="B281" s="32">
        <v>2014</v>
      </c>
      <c r="C281" s="32">
        <v>51.307000000000002</v>
      </c>
      <c r="D281" s="33">
        <v>66.598699999999994</v>
      </c>
      <c r="E281" s="32">
        <v>7.74</v>
      </c>
      <c r="F281" s="33">
        <v>10.0686277870269</v>
      </c>
      <c r="G281" s="33">
        <v>14262.2841914115</v>
      </c>
      <c r="H281" s="33">
        <v>3.92050862390031</v>
      </c>
      <c r="I281" s="33">
        <v>18.904599999999999</v>
      </c>
      <c r="J281" s="32">
        <v>0.95076000000000005</v>
      </c>
      <c r="K281" s="33">
        <v>23.73</v>
      </c>
      <c r="L281" s="33">
        <v>148.71299999999999</v>
      </c>
      <c r="M281" s="33">
        <v>10.086</v>
      </c>
      <c r="N281" s="32"/>
      <c r="O281" s="32"/>
      <c r="P281" s="32"/>
      <c r="Q281" s="32"/>
      <c r="R281" s="32"/>
      <c r="S281" s="32"/>
      <c r="T281" s="32"/>
    </row>
    <row r="282" spans="1:20" x14ac:dyDescent="0.3">
      <c r="A282" s="32" t="s">
        <v>86</v>
      </c>
      <c r="B282" s="32">
        <v>2015</v>
      </c>
      <c r="C282" s="32">
        <v>52.177</v>
      </c>
      <c r="D282" s="33">
        <v>67.997</v>
      </c>
      <c r="E282" s="32">
        <v>8.1199999999999992</v>
      </c>
      <c r="F282" s="33">
        <v>10.7755213322015</v>
      </c>
      <c r="G282" s="33">
        <v>12637.5220324406</v>
      </c>
      <c r="H282" s="33">
        <v>4.4317670026447704</v>
      </c>
      <c r="I282" s="33">
        <v>18.986799999999999</v>
      </c>
      <c r="J282" s="32">
        <v>1.00423</v>
      </c>
      <c r="K282" s="33">
        <v>20.684000000000001</v>
      </c>
      <c r="L282" s="33">
        <v>142.52000000000001</v>
      </c>
      <c r="M282" s="33">
        <v>8.3659999999999997</v>
      </c>
      <c r="N282" s="32"/>
      <c r="O282" s="32"/>
      <c r="P282" s="32"/>
      <c r="Q282" s="32"/>
      <c r="R282" s="32"/>
      <c r="S282" s="32"/>
      <c r="T282" s="32"/>
    </row>
    <row r="283" spans="1:20" x14ac:dyDescent="0.3">
      <c r="A283" s="32" t="s">
        <v>86</v>
      </c>
      <c r="B283" s="32">
        <v>2016</v>
      </c>
      <c r="C283" s="32">
        <v>53.015000000000001</v>
      </c>
      <c r="D283" s="33">
        <v>73.300700000000006</v>
      </c>
      <c r="E283" s="32">
        <v>7.14</v>
      </c>
      <c r="F283" s="33">
        <v>10.715422801420299</v>
      </c>
      <c r="G283" s="33">
        <v>12464.011050847501</v>
      </c>
      <c r="H283" s="33">
        <v>3.0311776759484701</v>
      </c>
      <c r="I283" s="33">
        <v>19.151299999999999</v>
      </c>
      <c r="J283" s="32">
        <v>0.96821000000000002</v>
      </c>
      <c r="K283" s="33">
        <v>17.588999999999999</v>
      </c>
      <c r="L283" s="33">
        <v>138.51900000000001</v>
      </c>
      <c r="M283" s="33">
        <v>6.915</v>
      </c>
      <c r="N283" s="32"/>
      <c r="O283" s="32"/>
      <c r="P283" s="32"/>
      <c r="Q283" s="32"/>
      <c r="R283" s="32"/>
      <c r="S283" s="32"/>
      <c r="T283" s="32"/>
    </row>
    <row r="284" spans="1:20" x14ac:dyDescent="0.3">
      <c r="A284" s="32" t="s">
        <v>86</v>
      </c>
      <c r="B284" s="32">
        <v>2017</v>
      </c>
      <c r="C284" s="32">
        <v>53.933999999999997</v>
      </c>
      <c r="D284" s="33">
        <v>75.985399999999998</v>
      </c>
      <c r="E284" s="32">
        <v>6.92</v>
      </c>
      <c r="F284" s="33">
        <v>10.667318725222099</v>
      </c>
      <c r="G284" s="33">
        <v>13913.340291992599</v>
      </c>
      <c r="H284" s="33">
        <v>5.1524577332590598</v>
      </c>
      <c r="I284" s="33">
        <v>19.953199999999999</v>
      </c>
      <c r="J284" s="32">
        <v>1.0378499999999999</v>
      </c>
      <c r="K284" s="33">
        <v>14.763</v>
      </c>
      <c r="L284" s="33">
        <v>131.90100000000001</v>
      </c>
      <c r="M284" s="33">
        <v>5.5960000000000001</v>
      </c>
      <c r="N284" s="32"/>
      <c r="O284" s="32"/>
      <c r="P284" s="32"/>
      <c r="Q284" s="32"/>
      <c r="R284" s="32"/>
      <c r="S284" s="32"/>
      <c r="T284" s="32"/>
    </row>
    <row r="285" spans="1:20" x14ac:dyDescent="0.3">
      <c r="A285" s="32" t="s">
        <v>86</v>
      </c>
      <c r="B285" s="32">
        <v>2018</v>
      </c>
      <c r="C285" s="32">
        <v>54.412999999999997</v>
      </c>
      <c r="D285" s="33">
        <v>77.541700000000006</v>
      </c>
      <c r="E285" s="32">
        <v>6.91</v>
      </c>
      <c r="F285" s="33">
        <v>10.3950333891094</v>
      </c>
      <c r="G285" s="33">
        <v>15658.212031679301</v>
      </c>
      <c r="H285" s="33">
        <v>6.2458584723942003</v>
      </c>
      <c r="I285" s="33">
        <v>20.531400000000001</v>
      </c>
      <c r="J285" s="32">
        <v>1.2060999999999999</v>
      </c>
      <c r="K285" s="33">
        <v>11.682</v>
      </c>
      <c r="L285" s="33">
        <v>126.26600000000001</v>
      </c>
      <c r="M285" s="33">
        <v>4.3920000000000003</v>
      </c>
      <c r="N285" s="32"/>
      <c r="O285" s="32"/>
      <c r="P285" s="32"/>
      <c r="Q285" s="32"/>
      <c r="R285" s="32"/>
      <c r="S285" s="32"/>
      <c r="T285" s="32"/>
    </row>
    <row r="286" spans="1:20" x14ac:dyDescent="0.3">
      <c r="A286" s="32" t="s">
        <v>86</v>
      </c>
      <c r="B286" s="32">
        <v>2019</v>
      </c>
      <c r="C286" s="32">
        <v>54.604999999999997</v>
      </c>
      <c r="D286" s="33">
        <v>80.435900000000004</v>
      </c>
      <c r="E286" s="32">
        <v>6.55</v>
      </c>
      <c r="F286" s="33">
        <v>9.8529348361967006</v>
      </c>
      <c r="G286" s="33">
        <v>15874.5220531253</v>
      </c>
      <c r="H286" s="33">
        <v>4.5804581725619897</v>
      </c>
      <c r="I286" s="33">
        <v>20.504300000000001</v>
      </c>
      <c r="J286" s="32">
        <v>1.32335</v>
      </c>
      <c r="K286" s="33">
        <v>9.8320000000000007</v>
      </c>
      <c r="L286" s="33">
        <v>126.59699999999999</v>
      </c>
      <c r="M286" s="33">
        <v>3.617</v>
      </c>
      <c r="N286" s="32"/>
      <c r="O286" s="32"/>
      <c r="P286" s="32"/>
      <c r="Q286" s="32"/>
      <c r="R286" s="32"/>
      <c r="S286" s="32"/>
      <c r="T286" s="32"/>
    </row>
    <row r="287" spans="1:20" x14ac:dyDescent="0.3">
      <c r="A287" s="32" t="s">
        <v>86</v>
      </c>
      <c r="B287" s="32">
        <v>2020</v>
      </c>
      <c r="C287" s="32">
        <v>54.579000000000001</v>
      </c>
      <c r="D287" s="33">
        <v>83.184899999999999</v>
      </c>
      <c r="E287" s="32">
        <v>7.22</v>
      </c>
      <c r="F287" s="33">
        <v>9.8661654899716495</v>
      </c>
      <c r="G287" s="33">
        <v>16150.930481347201</v>
      </c>
      <c r="H287" s="33">
        <v>-2.03556882399976</v>
      </c>
      <c r="I287" s="33">
        <v>21.925599999999999</v>
      </c>
      <c r="J287" s="32">
        <v>1.38608</v>
      </c>
      <c r="K287" s="33">
        <v>10.831</v>
      </c>
      <c r="L287" s="33">
        <v>129.28800000000001</v>
      </c>
      <c r="M287" s="33">
        <v>3.4769999999999999</v>
      </c>
      <c r="N287" s="32"/>
      <c r="O287" s="32"/>
      <c r="P287" s="32"/>
      <c r="Q287" s="32"/>
      <c r="R287" s="32"/>
      <c r="S287" s="32"/>
      <c r="T287" s="32"/>
    </row>
    <row r="288" spans="1:20" x14ac:dyDescent="0.3">
      <c r="A288" s="32" t="s">
        <v>86</v>
      </c>
      <c r="B288" s="32">
        <v>2021</v>
      </c>
      <c r="C288" s="32">
        <v>56.235999999999997</v>
      </c>
      <c r="D288" s="33">
        <v>85.374899999999997</v>
      </c>
      <c r="E288" s="32">
        <v>6.78</v>
      </c>
      <c r="F288" s="33">
        <v>9.4455651428093503</v>
      </c>
      <c r="G288" s="33">
        <v>18635.510489575299</v>
      </c>
      <c r="H288" s="33">
        <v>6.9271826605250002</v>
      </c>
      <c r="I288" s="33">
        <v>22.816600000000001</v>
      </c>
      <c r="J288" s="32">
        <v>1.4318299999999999</v>
      </c>
      <c r="K288" s="33">
        <v>11.808</v>
      </c>
      <c r="L288" s="33">
        <v>132.98699999999999</v>
      </c>
      <c r="M288" s="33">
        <v>3.9580000000000002</v>
      </c>
      <c r="N288" s="32"/>
      <c r="O288" s="32"/>
      <c r="P288" s="32"/>
      <c r="Q288" s="32"/>
      <c r="R288" s="32"/>
      <c r="S288" s="32"/>
      <c r="T288" s="32"/>
    </row>
    <row r="289" spans="1:20" x14ac:dyDescent="0.3">
      <c r="A289" s="32" t="s">
        <v>86</v>
      </c>
      <c r="B289" s="32">
        <v>2022</v>
      </c>
      <c r="C289" s="32">
        <v>56.723999999999997</v>
      </c>
      <c r="D289" s="33">
        <v>86.941100000000006</v>
      </c>
      <c r="E289" s="32">
        <v>6.47</v>
      </c>
      <c r="F289" s="33">
        <v>10.0886376866431</v>
      </c>
      <c r="G289" s="33">
        <v>18891.2121169278</v>
      </c>
      <c r="H289" s="33">
        <v>5.25545697386036</v>
      </c>
      <c r="I289" s="33">
        <v>23.837299999999999</v>
      </c>
      <c r="J289" s="32">
        <v>1.45383</v>
      </c>
      <c r="K289" s="33">
        <v>10.55</v>
      </c>
      <c r="L289" s="33">
        <v>137.00200000000001</v>
      </c>
      <c r="M289" s="33">
        <v>3.4550000000000001</v>
      </c>
      <c r="N289" s="32"/>
      <c r="O289" s="32"/>
      <c r="P289" s="32"/>
      <c r="Q289" s="32"/>
      <c r="R289" s="32"/>
      <c r="S289" s="32"/>
      <c r="T289" s="32"/>
    </row>
    <row r="290" spans="1:20" x14ac:dyDescent="0.3">
      <c r="A290" s="18" t="s">
        <v>85</v>
      </c>
      <c r="B290" s="18">
        <v>2007</v>
      </c>
      <c r="C290" s="18">
        <f t="array" ref="C290:C305">TRANSPOSE(EMPLOYrate!D6:S6)</f>
        <v>57.25</v>
      </c>
      <c r="D290" s="19" cm="1">
        <f t="array" ref="D290:D305">TRANSPOSE(ictuse!D22:S22)</f>
        <v>42.09</v>
      </c>
      <c r="E290" s="18">
        <f t="array" ref="E290:E305">TRANSPOSE(ictgoods!D8:S8)</f>
        <v>7.84</v>
      </c>
      <c r="F290" s="19" cm="1">
        <f t="array" ref="F290:F305">TRANSPOSE(hightechmanu!C24:R24)</f>
        <v>8.6030496829756693</v>
      </c>
      <c r="G290" s="19" cm="1">
        <f t="array" ref="G290:G305">TRANSPOSE(gdppercapita!D23:S23)</f>
        <v>22811.0564844365</v>
      </c>
      <c r="H290" s="19" cm="1">
        <f t="array" ref="H290:H305">TRANSPOSE(gdpannual!D16:S16)</f>
        <v>2.5065793775123</v>
      </c>
      <c r="I290" s="19" cm="1">
        <f t="array" ref="I290:I305">TRANSPOSE(fixedbroadband!D19:S19)</f>
        <v>14.4788</v>
      </c>
      <c r="J290" s="18" cm="1">
        <f t="array" ref="J290:J305">TRANSPOSE(rdexpediture!D1:S1)</f>
        <v>2007</v>
      </c>
      <c r="K290" s="19" cm="1">
        <f t="array" ref="K290:K305">TRANSPOSE(YOUTH_EMPLOY!D23:S23)</f>
        <v>16.727</v>
      </c>
      <c r="L290" s="19">
        <f t="array" ref="L290:L305">TRANSPOSE(mobile_celular!D25:S25)</f>
        <v>127.786</v>
      </c>
      <c r="M290" s="19">
        <f t="array" ref="M290:M305">TRANSPOSE(unemployEAD!C24:R24)</f>
        <v>8.11</v>
      </c>
      <c r="N290" s="18"/>
      <c r="O290" s="18"/>
      <c r="P290" s="18"/>
      <c r="Q290" s="18"/>
      <c r="R290" s="18"/>
      <c r="S290" s="18"/>
      <c r="T290" s="18"/>
    </row>
    <row r="291" spans="1:20" x14ac:dyDescent="0.3">
      <c r="A291" s="18" t="s">
        <v>85</v>
      </c>
      <c r="B291" s="18">
        <v>2008</v>
      </c>
      <c r="C291" s="18">
        <v>57.344000000000001</v>
      </c>
      <c r="D291" s="19">
        <v>44.13</v>
      </c>
      <c r="E291" s="18">
        <v>6.93</v>
      </c>
      <c r="F291" s="19">
        <v>8.2364061023586395</v>
      </c>
      <c r="G291" s="19">
        <v>24949.041356673901</v>
      </c>
      <c r="H291" s="19">
        <v>0.31924734443455799</v>
      </c>
      <c r="I291" s="19">
        <v>15.481</v>
      </c>
      <c r="J291" s="18">
        <v>2008</v>
      </c>
      <c r="K291" s="19">
        <v>16.663</v>
      </c>
      <c r="L291" s="19">
        <v>132.99</v>
      </c>
      <c r="M291" s="19">
        <v>7.7569999999999997</v>
      </c>
      <c r="N291" s="18"/>
      <c r="O291" s="18"/>
      <c r="P291" s="18"/>
      <c r="Q291" s="18"/>
      <c r="R291" s="18"/>
      <c r="S291" s="18"/>
      <c r="T291" s="18"/>
    </row>
    <row r="292" spans="1:20" x14ac:dyDescent="0.3">
      <c r="A292" s="18" t="s">
        <v>85</v>
      </c>
      <c r="B292" s="18">
        <v>2009</v>
      </c>
      <c r="C292" s="18">
        <v>55.567999999999998</v>
      </c>
      <c r="D292" s="19">
        <v>48.27</v>
      </c>
      <c r="E292" s="18">
        <v>4.41</v>
      </c>
      <c r="F292" s="19">
        <v>4.7945586664894</v>
      </c>
      <c r="G292" s="19">
        <v>23151.215413071099</v>
      </c>
      <c r="H292" s="19">
        <v>-3.1220782754509302</v>
      </c>
      <c r="I292" s="19">
        <v>18.076599999999999</v>
      </c>
      <c r="J292" s="18">
        <v>2009</v>
      </c>
      <c r="K292" s="19">
        <v>20.308</v>
      </c>
      <c r="L292" s="19">
        <v>111.524</v>
      </c>
      <c r="M292" s="19">
        <v>9.6349999999999998</v>
      </c>
      <c r="N292" s="18"/>
      <c r="O292" s="18"/>
      <c r="P292" s="18"/>
      <c r="Q292" s="18"/>
      <c r="R292" s="18"/>
      <c r="S292" s="18"/>
      <c r="T292" s="18"/>
    </row>
    <row r="293" spans="1:20" x14ac:dyDescent="0.3">
      <c r="A293" s="18" t="s">
        <v>85</v>
      </c>
      <c r="B293" s="18">
        <v>2010</v>
      </c>
      <c r="C293" s="18">
        <v>54.631</v>
      </c>
      <c r="D293" s="19">
        <v>53.3</v>
      </c>
      <c r="E293" s="18">
        <v>4.01</v>
      </c>
      <c r="F293" s="19">
        <v>4.0731061813298597</v>
      </c>
      <c r="G293" s="19">
        <v>22551.935098808899</v>
      </c>
      <c r="H293" s="19">
        <v>1.73762453640036</v>
      </c>
      <c r="I293" s="19">
        <v>20.1036</v>
      </c>
      <c r="J293" s="18">
        <v>2010</v>
      </c>
      <c r="K293" s="19">
        <v>22.753</v>
      </c>
      <c r="L293" s="19">
        <v>115.425</v>
      </c>
      <c r="M293" s="19">
        <v>11.364000000000001</v>
      </c>
      <c r="N293" s="18"/>
      <c r="O293" s="18"/>
      <c r="P293" s="18"/>
      <c r="Q293" s="18"/>
      <c r="R293" s="18"/>
      <c r="S293" s="18"/>
      <c r="T293" s="18"/>
    </row>
    <row r="294" spans="1:20" x14ac:dyDescent="0.3">
      <c r="A294" s="18" t="s">
        <v>85</v>
      </c>
      <c r="B294" s="18">
        <v>2011</v>
      </c>
      <c r="C294" s="18">
        <v>52.695</v>
      </c>
      <c r="D294" s="19">
        <v>55.25</v>
      </c>
      <c r="E294" s="18">
        <v>3.91</v>
      </c>
      <c r="F294" s="19">
        <v>4.1239897920344797</v>
      </c>
      <c r="G294" s="19">
        <v>23246.542541648101</v>
      </c>
      <c r="H294" s="19">
        <v>-1.71352745905065</v>
      </c>
      <c r="I294" s="19">
        <v>21.2468</v>
      </c>
      <c r="J294" s="18">
        <v>2011</v>
      </c>
      <c r="K294" s="19">
        <v>30.260999999999999</v>
      </c>
      <c r="L294" s="19">
        <v>116.837</v>
      </c>
      <c r="M294" s="19">
        <v>13.398</v>
      </c>
      <c r="N294" s="18"/>
      <c r="O294" s="18"/>
      <c r="P294" s="18"/>
      <c r="Q294" s="18"/>
      <c r="R294" s="18"/>
      <c r="S294" s="18"/>
      <c r="T294" s="18"/>
    </row>
    <row r="295" spans="1:20" x14ac:dyDescent="0.3">
      <c r="A295" s="18" t="s">
        <v>85</v>
      </c>
      <c r="B295" s="18">
        <v>2012</v>
      </c>
      <c r="C295" s="18">
        <v>50.723999999999997</v>
      </c>
      <c r="D295" s="19">
        <v>60.34</v>
      </c>
      <c r="E295" s="18">
        <v>3.44</v>
      </c>
      <c r="F295" s="19">
        <v>4.4929986519750003</v>
      </c>
      <c r="G295" s="19">
        <v>20593.427422410899</v>
      </c>
      <c r="H295" s="19">
        <v>-4.0509026762193496</v>
      </c>
      <c r="I295" s="19">
        <v>22.7408</v>
      </c>
      <c r="J295" s="18">
        <v>2012</v>
      </c>
      <c r="K295" s="19">
        <v>37.917000000000002</v>
      </c>
      <c r="L295" s="19">
        <v>113.35899999999999</v>
      </c>
      <c r="M295" s="19">
        <v>17.635999999999999</v>
      </c>
      <c r="N295" s="18"/>
      <c r="O295" s="18"/>
      <c r="P295" s="18"/>
      <c r="Q295" s="18"/>
      <c r="R295" s="18"/>
      <c r="S295" s="18"/>
      <c r="T295" s="18"/>
    </row>
    <row r="296" spans="1:20" x14ac:dyDescent="0.3">
      <c r="A296" s="18" t="s">
        <v>85</v>
      </c>
      <c r="B296" s="18">
        <v>2013</v>
      </c>
      <c r="C296" s="18">
        <v>49.561999999999998</v>
      </c>
      <c r="D296" s="19">
        <v>62.095599999999997</v>
      </c>
      <c r="E296" s="18">
        <v>2.72</v>
      </c>
      <c r="F296" s="19">
        <v>4.7002779478976198</v>
      </c>
      <c r="G296" s="19">
        <v>21676.485964271302</v>
      </c>
      <c r="H296" s="19">
        <v>-0.98410657414832703</v>
      </c>
      <c r="I296" s="19">
        <v>24.510300000000001</v>
      </c>
      <c r="J296" s="18">
        <v>2013</v>
      </c>
      <c r="K296" s="19">
        <v>38.085999999999999</v>
      </c>
      <c r="L296" s="19">
        <v>114.655</v>
      </c>
      <c r="M296" s="19">
        <v>17.393000000000001</v>
      </c>
      <c r="N296" s="18"/>
      <c r="O296" s="18"/>
      <c r="P296" s="18"/>
      <c r="Q296" s="18"/>
      <c r="R296" s="18"/>
      <c r="S296" s="18"/>
      <c r="T296" s="18"/>
    </row>
    <row r="297" spans="1:20" x14ac:dyDescent="0.3">
      <c r="A297" s="18" t="s">
        <v>85</v>
      </c>
      <c r="B297" s="18">
        <v>2014</v>
      </c>
      <c r="C297" s="18">
        <v>50.548000000000002</v>
      </c>
      <c r="D297" s="19">
        <v>64.592399999999998</v>
      </c>
      <c r="E297" s="18">
        <v>2.29</v>
      </c>
      <c r="F297" s="19">
        <v>4.8807096796370804</v>
      </c>
      <c r="G297" s="19">
        <v>22120.685012710699</v>
      </c>
      <c r="H297" s="19">
        <v>0.74139142070650599</v>
      </c>
      <c r="I297" s="19">
        <v>27.462199999999999</v>
      </c>
      <c r="J297" s="18">
        <v>2014</v>
      </c>
      <c r="K297" s="19">
        <v>34.753999999999998</v>
      </c>
      <c r="L297" s="19">
        <v>114.313</v>
      </c>
      <c r="M297" s="19">
        <v>15.266999999999999</v>
      </c>
      <c r="N297" s="18"/>
      <c r="O297" s="18"/>
      <c r="P297" s="18"/>
      <c r="Q297" s="18"/>
      <c r="R297" s="18"/>
      <c r="S297" s="18"/>
      <c r="T297" s="18"/>
    </row>
    <row r="298" spans="1:20" x14ac:dyDescent="0.3">
      <c r="A298" s="18" t="s">
        <v>85</v>
      </c>
      <c r="B298" s="18">
        <v>2015</v>
      </c>
      <c r="C298" s="18">
        <v>51.231000000000002</v>
      </c>
      <c r="D298" s="19">
        <v>68.632900000000006</v>
      </c>
      <c r="E298" s="18">
        <v>2.4500000000000002</v>
      </c>
      <c r="F298" s="19">
        <v>5.0799527746131403</v>
      </c>
      <c r="G298" s="19">
        <v>19215.781301434599</v>
      </c>
      <c r="H298" s="19">
        <v>1.5897980370268101</v>
      </c>
      <c r="I298" s="19">
        <v>30.3</v>
      </c>
      <c r="J298" s="18">
        <v>2015</v>
      </c>
      <c r="K298" s="19">
        <v>31.946999999999999</v>
      </c>
      <c r="L298" s="19">
        <v>112.964</v>
      </c>
      <c r="M298" s="19">
        <v>13.941000000000001</v>
      </c>
      <c r="N298" s="18"/>
      <c r="O298" s="18"/>
      <c r="P298" s="18"/>
      <c r="Q298" s="18"/>
      <c r="R298" s="18"/>
      <c r="S298" s="18"/>
      <c r="T298" s="18"/>
    </row>
    <row r="299" spans="1:20" x14ac:dyDescent="0.3">
      <c r="A299" s="18" t="s">
        <v>85</v>
      </c>
      <c r="B299" s="18">
        <v>2016</v>
      </c>
      <c r="C299" s="18">
        <v>51.895000000000003</v>
      </c>
      <c r="D299" s="19">
        <v>70.423599999999993</v>
      </c>
      <c r="E299" s="18">
        <v>3.32</v>
      </c>
      <c r="F299" s="19">
        <v>5.8054000105444796</v>
      </c>
      <c r="G299" s="19">
        <v>19980.280886651501</v>
      </c>
      <c r="H299" s="19">
        <v>2.0041412966657499</v>
      </c>
      <c r="I299" s="19">
        <v>32.625900000000001</v>
      </c>
      <c r="J299" s="18">
        <v>2016</v>
      </c>
      <c r="K299" s="19">
        <v>27.95</v>
      </c>
      <c r="L299" s="19">
        <v>111.84699999999999</v>
      </c>
      <c r="M299" s="19">
        <v>12.25</v>
      </c>
      <c r="N299" s="18"/>
      <c r="O299" s="18"/>
      <c r="P299" s="18"/>
      <c r="Q299" s="18"/>
      <c r="R299" s="18"/>
      <c r="S299" s="18"/>
      <c r="T299" s="18"/>
    </row>
    <row r="300" spans="1:20" x14ac:dyDescent="0.3">
      <c r="A300" s="18" t="s">
        <v>85</v>
      </c>
      <c r="B300" s="18">
        <v>2017</v>
      </c>
      <c r="C300" s="18">
        <v>53.619</v>
      </c>
      <c r="D300" s="19">
        <v>73.791200000000003</v>
      </c>
      <c r="E300" s="18">
        <v>3.22</v>
      </c>
      <c r="F300" s="19">
        <v>5.9881259537165503</v>
      </c>
      <c r="G300" s="19">
        <v>21442.3842768879</v>
      </c>
      <c r="H300" s="19">
        <v>3.3147200817598499</v>
      </c>
      <c r="I300" s="19">
        <v>34.601599999999998</v>
      </c>
      <c r="J300" s="18">
        <v>2017</v>
      </c>
      <c r="K300" s="19">
        <v>23.869</v>
      </c>
      <c r="L300" s="19">
        <v>113.874</v>
      </c>
      <c r="M300" s="19">
        <v>9.9160000000000004</v>
      </c>
      <c r="N300" s="18"/>
      <c r="O300" s="18"/>
      <c r="P300" s="18"/>
      <c r="Q300" s="18"/>
      <c r="R300" s="18"/>
      <c r="S300" s="18"/>
      <c r="T300" s="18"/>
    </row>
    <row r="301" spans="1:20" x14ac:dyDescent="0.3">
      <c r="A301" s="18" t="s">
        <v>85</v>
      </c>
      <c r="B301" s="18">
        <v>2018</v>
      </c>
      <c r="C301" s="18">
        <v>54.819000000000003</v>
      </c>
      <c r="D301" s="19">
        <v>74.661000000000001</v>
      </c>
      <c r="E301" s="18">
        <v>3.03</v>
      </c>
      <c r="F301" s="19">
        <v>5.28353269409281</v>
      </c>
      <c r="G301" s="19">
        <v>23541.140107528801</v>
      </c>
      <c r="H301" s="19">
        <v>2.9462834344920101</v>
      </c>
      <c r="I301" s="19">
        <v>36.654299999999999</v>
      </c>
      <c r="J301" s="18">
        <v>2018</v>
      </c>
      <c r="K301" s="19">
        <v>20.305</v>
      </c>
      <c r="L301" s="19">
        <v>114.85899999999999</v>
      </c>
      <c r="M301" s="19">
        <v>8.234</v>
      </c>
      <c r="N301" s="18"/>
      <c r="O301" s="18"/>
      <c r="P301" s="18"/>
      <c r="Q301" s="18"/>
      <c r="R301" s="18"/>
      <c r="S301" s="18"/>
      <c r="T301" s="18"/>
    </row>
    <row r="302" spans="1:20" x14ac:dyDescent="0.3">
      <c r="A302" s="18" t="s">
        <v>85</v>
      </c>
      <c r="B302" s="18">
        <v>2019</v>
      </c>
      <c r="C302" s="18">
        <v>55.137999999999998</v>
      </c>
      <c r="D302" s="19">
        <v>75.346400000000003</v>
      </c>
      <c r="E302" s="18">
        <v>3.4</v>
      </c>
      <c r="F302" s="19">
        <v>6.9418147544300899</v>
      </c>
      <c r="G302" s="19">
        <v>23343.362897003401</v>
      </c>
      <c r="H302" s="19">
        <v>2.7456843264859501</v>
      </c>
      <c r="I302" s="19">
        <v>38.360599999999998</v>
      </c>
      <c r="J302" s="18">
        <v>2019</v>
      </c>
      <c r="K302" s="19">
        <v>18.279</v>
      </c>
      <c r="L302" s="19">
        <v>115.146</v>
      </c>
      <c r="M302" s="19">
        <v>7.2220000000000004</v>
      </c>
      <c r="N302" s="18"/>
      <c r="O302" s="18"/>
      <c r="P302" s="18"/>
      <c r="Q302" s="18"/>
      <c r="R302" s="18"/>
      <c r="S302" s="18"/>
      <c r="T302" s="18"/>
    </row>
    <row r="303" spans="1:20" x14ac:dyDescent="0.3">
      <c r="A303" s="18" t="s">
        <v>85</v>
      </c>
      <c r="B303" s="18">
        <v>2020</v>
      </c>
      <c r="C303" s="18">
        <v>53.566000000000003</v>
      </c>
      <c r="D303" s="19">
        <v>78.261700000000005</v>
      </c>
      <c r="E303" s="18">
        <v>3.7</v>
      </c>
      <c r="F303" s="19">
        <v>7.1147115711237996</v>
      </c>
      <c r="G303" s="19">
        <v>22299.404406217302</v>
      </c>
      <c r="H303" s="19">
        <v>-8.2046315932438691</v>
      </c>
      <c r="I303" s="19">
        <v>40.121499999999997</v>
      </c>
      <c r="J303" s="18">
        <v>2020</v>
      </c>
      <c r="K303" s="19">
        <v>22.494</v>
      </c>
      <c r="L303" s="19">
        <v>114.276</v>
      </c>
      <c r="M303" s="19">
        <v>8.3620000000000001</v>
      </c>
      <c r="N303" s="18"/>
      <c r="O303" s="18"/>
      <c r="P303" s="18"/>
      <c r="Q303" s="18"/>
      <c r="R303" s="18"/>
      <c r="S303" s="18"/>
      <c r="T303" s="18"/>
    </row>
    <row r="304" spans="1:20" x14ac:dyDescent="0.3">
      <c r="A304" s="18" t="s">
        <v>85</v>
      </c>
      <c r="B304" s="18">
        <v>2021</v>
      </c>
      <c r="C304" s="18">
        <v>52.947000000000003</v>
      </c>
      <c r="D304" s="19">
        <v>82.308999999999997</v>
      </c>
      <c r="E304" s="18">
        <v>3.51</v>
      </c>
      <c r="F304" s="19">
        <v>6.2503314045119902</v>
      </c>
      <c r="G304" s="19">
        <v>24711.451006210998</v>
      </c>
      <c r="H304" s="19">
        <v>5.5587567207037401</v>
      </c>
      <c r="I304" s="19">
        <v>41.514600000000002</v>
      </c>
      <c r="J304" s="18">
        <v>2021</v>
      </c>
      <c r="K304" s="19">
        <v>23.474</v>
      </c>
      <c r="L304" s="19">
        <v>119.76900000000001</v>
      </c>
      <c r="M304" s="19">
        <v>7.9269999999999996</v>
      </c>
      <c r="N304" s="18"/>
      <c r="O304" s="18"/>
      <c r="P304" s="18"/>
      <c r="Q304" s="18"/>
      <c r="R304" s="18"/>
      <c r="S304" s="18"/>
      <c r="T304" s="18"/>
    </row>
    <row r="305" spans="1:20" x14ac:dyDescent="0.3">
      <c r="A305" s="18" t="s">
        <v>85</v>
      </c>
      <c r="B305" s="18">
        <v>2022</v>
      </c>
      <c r="C305" s="18">
        <v>54.22</v>
      </c>
      <c r="D305" s="19">
        <v>84.496899999999997</v>
      </c>
      <c r="E305" s="18">
        <v>3.28</v>
      </c>
      <c r="F305" s="19">
        <v>6.9519881216912296</v>
      </c>
      <c r="G305" s="19">
        <v>24620.519758718001</v>
      </c>
      <c r="H305" s="19">
        <v>6.98584137580277</v>
      </c>
      <c r="I305" s="19">
        <v>42.936999999999998</v>
      </c>
      <c r="J305" s="18">
        <v>2022</v>
      </c>
      <c r="K305" s="19">
        <v>19.053999999999998</v>
      </c>
      <c r="L305" s="19">
        <v>122.801</v>
      </c>
      <c r="M305" s="19">
        <v>6.8789999999999996</v>
      </c>
      <c r="N305" s="18"/>
      <c r="O305" s="18"/>
      <c r="P305" s="18"/>
      <c r="Q305" s="18"/>
      <c r="R305" s="18"/>
      <c r="S305" s="18"/>
      <c r="T305" s="18"/>
    </row>
    <row r="306" spans="1:20" x14ac:dyDescent="0.3">
      <c r="A306" s="22" t="s">
        <v>84</v>
      </c>
      <c r="B306" s="22">
        <v>2007</v>
      </c>
      <c r="C306" s="22">
        <f t="array" ref="C306:C321">TRANSPOSE(EMPLOYrate!D13:S13)</f>
        <v>51.256999999999998</v>
      </c>
      <c r="D306" s="23" cm="1">
        <f t="array" ref="D306:D321">TRANSPOSE(ictuse!D23:S23)</f>
        <v>28.3</v>
      </c>
      <c r="E306" s="22">
        <f t="array" ref="E306:E321">TRANSPOSE(ictgoods!D16:S16)</f>
        <v>2.34</v>
      </c>
      <c r="F306" s="23" cm="1">
        <f t="array" ref="F306:F321">TRANSPOSE(hightechmanu!C25:R25)</f>
        <v>4.4197699873735301</v>
      </c>
      <c r="G306" s="23" cm="1">
        <f t="array" ref="G306:G321">TRANSPOSE(gdppercapita!D26:S26)</f>
        <v>8360.33775916595</v>
      </c>
      <c r="H306" s="23" cm="1">
        <f t="array" ref="H306:H321">TRANSPOSE(gdpannual!D23:S23)</f>
        <v>7.2338077436280397</v>
      </c>
      <c r="I306" s="23" cm="1">
        <f t="array" ref="I306:I321">TRANSPOSE(fixedbroadband!D11:S11)</f>
        <v>9.3537800000000004</v>
      </c>
      <c r="J306" s="22" cm="1">
        <f t="array" ref="J306:J321">TRANSPOSE(rdexpediture!D6:S6)</f>
        <v>0.51148000000000005</v>
      </c>
      <c r="K306" s="23" cm="1">
        <f t="array" ref="K306:K321">TRANSPOSE(YOUTH_EMPLOY!D24:S24)</f>
        <v>20.649000000000001</v>
      </c>
      <c r="L306" s="23">
        <f t="array" ref="L306:L321">TRANSPOSE(mobile_celular!D26:S26)</f>
        <v>97.744600000000005</v>
      </c>
      <c r="M306" s="23">
        <f t="array" ref="M306:M321">TRANSPOSE(unemployEAD!C25:R25)</f>
        <v>6.891</v>
      </c>
      <c r="N306" s="22"/>
      <c r="O306" s="22"/>
      <c r="P306" s="22"/>
      <c r="Q306" s="22"/>
      <c r="R306" s="22"/>
      <c r="S306" s="22"/>
      <c r="T306" s="22"/>
    </row>
    <row r="307" spans="1:20" x14ac:dyDescent="0.3">
      <c r="A307" s="22" t="s">
        <v>84</v>
      </c>
      <c r="B307" s="22">
        <v>2008</v>
      </c>
      <c r="C307" s="22">
        <v>51.353999999999999</v>
      </c>
      <c r="D307" s="23">
        <v>32.42</v>
      </c>
      <c r="E307" s="22">
        <v>4.49</v>
      </c>
      <c r="F307" s="23">
        <v>6.9249689926114097</v>
      </c>
      <c r="G307" s="23">
        <v>10435.156123078699</v>
      </c>
      <c r="H307" s="23">
        <v>9.3074671707733696</v>
      </c>
      <c r="I307" s="23">
        <v>12.150399999999999</v>
      </c>
      <c r="J307" s="22">
        <v>0.55215000000000003</v>
      </c>
      <c r="K307" s="23">
        <v>19.239999999999998</v>
      </c>
      <c r="L307" s="23">
        <v>118.10599999999999</v>
      </c>
      <c r="M307" s="23">
        <v>5.9660000000000002</v>
      </c>
      <c r="N307" s="22"/>
      <c r="O307" s="22"/>
      <c r="P307" s="22"/>
      <c r="Q307" s="22"/>
      <c r="R307" s="22"/>
      <c r="S307" s="22"/>
      <c r="T307" s="22"/>
    </row>
    <row r="308" spans="1:20" x14ac:dyDescent="0.3">
      <c r="A308" s="22" t="s">
        <v>84</v>
      </c>
      <c r="B308" s="22">
        <v>2009</v>
      </c>
      <c r="C308" s="22">
        <v>50.706000000000003</v>
      </c>
      <c r="D308" s="23">
        <v>36.6</v>
      </c>
      <c r="E308" s="22">
        <v>7.21</v>
      </c>
      <c r="F308" s="23">
        <v>10.4128996910458</v>
      </c>
      <c r="G308" s="23">
        <v>8548.4543409241905</v>
      </c>
      <c r="H308" s="23">
        <v>-5.51670615843011</v>
      </c>
      <c r="I308" s="23">
        <v>13.668699999999999</v>
      </c>
      <c r="J308" s="22">
        <v>0.44395000000000001</v>
      </c>
      <c r="K308" s="23">
        <v>21.46</v>
      </c>
      <c r="L308" s="23">
        <v>121.98099999999999</v>
      </c>
      <c r="M308" s="23">
        <v>7.2389999999999999</v>
      </c>
      <c r="N308" s="22"/>
      <c r="O308" s="22"/>
      <c r="P308" s="22"/>
      <c r="Q308" s="22"/>
      <c r="R308" s="22"/>
      <c r="S308" s="22"/>
      <c r="T308" s="22"/>
    </row>
    <row r="309" spans="1:20" x14ac:dyDescent="0.3">
      <c r="A309" s="22" t="s">
        <v>84</v>
      </c>
      <c r="B309" s="22">
        <v>2010</v>
      </c>
      <c r="C309" s="22">
        <v>51.051000000000002</v>
      </c>
      <c r="D309" s="23">
        <v>39.93</v>
      </c>
      <c r="E309" s="22">
        <v>8.39</v>
      </c>
      <c r="F309" s="23">
        <v>12.5284153668524</v>
      </c>
      <c r="G309" s="23">
        <v>8399.5374234284009</v>
      </c>
      <c r="H309" s="23">
        <v>-3.90581157302972</v>
      </c>
      <c r="I309" s="23">
        <v>14.6854</v>
      </c>
      <c r="J309" s="22">
        <v>0.44666</v>
      </c>
      <c r="K309" s="23">
        <v>22.193000000000001</v>
      </c>
      <c r="L309" s="23">
        <v>119.221</v>
      </c>
      <c r="M309" s="23">
        <v>7.9850000000000003</v>
      </c>
      <c r="N309" s="22"/>
      <c r="O309" s="22"/>
      <c r="P309" s="22"/>
      <c r="Q309" s="22"/>
      <c r="R309" s="22"/>
      <c r="S309" s="22"/>
      <c r="T309" s="22"/>
    </row>
    <row r="310" spans="1:20" x14ac:dyDescent="0.3">
      <c r="A310" s="22" t="s">
        <v>84</v>
      </c>
      <c r="B310" s="22">
        <v>2011</v>
      </c>
      <c r="C310" s="22">
        <v>50.226999999999997</v>
      </c>
      <c r="D310" s="23">
        <v>40.01</v>
      </c>
      <c r="E310" s="22">
        <v>7.82</v>
      </c>
      <c r="F310" s="23">
        <v>11.6358398403345</v>
      </c>
      <c r="G310" s="23">
        <v>9560.6755277457996</v>
      </c>
      <c r="H310" s="23">
        <v>4.49558909946313</v>
      </c>
      <c r="I310" s="23">
        <v>16.1875</v>
      </c>
      <c r="J310" s="22">
        <v>0.47459000000000001</v>
      </c>
      <c r="K310" s="23">
        <v>24.074999999999999</v>
      </c>
      <c r="L310" s="23">
        <v>115.47199999999999</v>
      </c>
      <c r="M310" s="23">
        <v>7.8719999999999999</v>
      </c>
      <c r="N310" s="22"/>
      <c r="O310" s="22"/>
      <c r="P310" s="22"/>
      <c r="Q310" s="22"/>
      <c r="R310" s="22"/>
      <c r="S310" s="22"/>
      <c r="T310" s="22"/>
    </row>
    <row r="311" spans="1:20" x14ac:dyDescent="0.3">
      <c r="A311" s="22" t="s">
        <v>84</v>
      </c>
      <c r="B311" s="22">
        <v>2012</v>
      </c>
      <c r="C311" s="22">
        <v>50.902999999999999</v>
      </c>
      <c r="D311" s="23">
        <v>45.88</v>
      </c>
      <c r="E311" s="22">
        <v>4.99</v>
      </c>
      <c r="F311" s="23">
        <v>8.1798795123646997</v>
      </c>
      <c r="G311" s="23">
        <v>8929.9536623147396</v>
      </c>
      <c r="H311" s="23">
        <v>1.90361696799602</v>
      </c>
      <c r="I311" s="23">
        <v>17.567499999999999</v>
      </c>
      <c r="J311" s="22">
        <v>0.46239999999999998</v>
      </c>
      <c r="K311" s="23">
        <v>22.818000000000001</v>
      </c>
      <c r="L311" s="23">
        <v>113.30200000000001</v>
      </c>
      <c r="M311" s="23">
        <v>7.3330000000000002</v>
      </c>
      <c r="N311" s="22"/>
      <c r="O311" s="22"/>
      <c r="P311" s="22"/>
      <c r="Q311" s="22"/>
      <c r="R311" s="22"/>
      <c r="S311" s="22"/>
      <c r="T311" s="22"/>
    </row>
    <row r="312" spans="1:20" x14ac:dyDescent="0.3">
      <c r="A312" s="22" t="s">
        <v>84</v>
      </c>
      <c r="B312" s="22">
        <v>2013</v>
      </c>
      <c r="C312" s="22">
        <v>50.662999999999997</v>
      </c>
      <c r="D312" s="23">
        <v>49.764499999999998</v>
      </c>
      <c r="E312" s="22">
        <v>3.97</v>
      </c>
      <c r="F312" s="23">
        <v>7.3981832313213998</v>
      </c>
      <c r="G312" s="23">
        <v>9497.6741161523696</v>
      </c>
      <c r="H312" s="23">
        <v>0.27877187747023402</v>
      </c>
      <c r="I312" s="23">
        <v>18.8919</v>
      </c>
      <c r="J312" s="22">
        <v>0.39023999999999998</v>
      </c>
      <c r="K312" s="23">
        <v>24.029</v>
      </c>
      <c r="L312" s="23">
        <v>114.191</v>
      </c>
      <c r="M312" s="23">
        <v>7.7519999999999998</v>
      </c>
      <c r="N312" s="22"/>
      <c r="O312" s="22"/>
      <c r="P312" s="22"/>
      <c r="Q312" s="22"/>
      <c r="R312" s="22"/>
      <c r="S312" s="22"/>
      <c r="T312" s="22"/>
    </row>
    <row r="313" spans="1:20" x14ac:dyDescent="0.3">
      <c r="A313" s="22" t="s">
        <v>84</v>
      </c>
      <c r="B313" s="22">
        <v>2014</v>
      </c>
      <c r="C313" s="22">
        <v>51.137999999999998</v>
      </c>
      <c r="D313" s="23">
        <v>54.078299999999999</v>
      </c>
      <c r="E313" s="22">
        <v>3.83</v>
      </c>
      <c r="F313" s="23">
        <v>8.41047672645864</v>
      </c>
      <c r="G313" s="23">
        <v>10031.7710755403</v>
      </c>
      <c r="H313" s="23">
        <v>4.1160010926783102</v>
      </c>
      <c r="I313" s="23">
        <v>20.114000000000001</v>
      </c>
      <c r="J313" s="22">
        <v>0.38207999999999998</v>
      </c>
      <c r="K313" s="23">
        <v>24.373999999999999</v>
      </c>
      <c r="L313" s="23">
        <v>114.783</v>
      </c>
      <c r="M313" s="23">
        <v>7.17</v>
      </c>
      <c r="N313" s="22"/>
      <c r="O313" s="22"/>
      <c r="P313" s="22"/>
      <c r="Q313" s="22"/>
      <c r="R313" s="22"/>
      <c r="S313" s="22"/>
      <c r="T313" s="22"/>
    </row>
    <row r="314" spans="1:20" x14ac:dyDescent="0.3">
      <c r="A314" s="22" t="s">
        <v>84</v>
      </c>
      <c r="B314" s="22">
        <v>2015</v>
      </c>
      <c r="C314" s="22">
        <v>50.828000000000003</v>
      </c>
      <c r="D314" s="23">
        <v>55.763199999999998</v>
      </c>
      <c r="E314" s="22">
        <v>3.66</v>
      </c>
      <c r="F314" s="23">
        <v>9.4141478022413398</v>
      </c>
      <c r="G314" s="23">
        <v>8977.0174815819591</v>
      </c>
      <c r="H314" s="23">
        <v>3.1570360543853999</v>
      </c>
      <c r="I314" s="23">
        <v>21.449000000000002</v>
      </c>
      <c r="J314" s="22">
        <v>0.48796</v>
      </c>
      <c r="K314" s="23">
        <v>22.038</v>
      </c>
      <c r="L314" s="23">
        <v>116.35</v>
      </c>
      <c r="M314" s="23">
        <v>7.2229999999999999</v>
      </c>
      <c r="N314" s="22"/>
      <c r="O314" s="22"/>
      <c r="P314" s="22"/>
      <c r="Q314" s="22"/>
      <c r="R314" s="22"/>
      <c r="S314" s="22"/>
      <c r="T314" s="22"/>
    </row>
    <row r="315" spans="1:20" x14ac:dyDescent="0.3">
      <c r="A315" s="22" t="s">
        <v>84</v>
      </c>
      <c r="B315" s="22">
        <v>2016</v>
      </c>
      <c r="C315" s="22">
        <v>50.552</v>
      </c>
      <c r="D315" s="23">
        <v>59.503999999999998</v>
      </c>
      <c r="E315" s="22">
        <v>3.38</v>
      </c>
      <c r="F315" s="23">
        <v>10.3924513925488</v>
      </c>
      <c r="G315" s="23">
        <v>9404.5400587071399</v>
      </c>
      <c r="H315" s="23">
        <v>2.8599325230208801</v>
      </c>
      <c r="I315" s="23">
        <v>22.4983</v>
      </c>
      <c r="J315" s="22">
        <v>0.48864000000000002</v>
      </c>
      <c r="K315" s="23">
        <v>21.03</v>
      </c>
      <c r="L315" s="23">
        <v>115.791</v>
      </c>
      <c r="M315" s="23">
        <v>6.2220000000000004</v>
      </c>
      <c r="N315" s="22"/>
      <c r="O315" s="22"/>
      <c r="P315" s="22"/>
      <c r="Q315" s="22"/>
      <c r="R315" s="22"/>
      <c r="S315" s="22"/>
      <c r="T315" s="22"/>
    </row>
    <row r="316" spans="1:20" x14ac:dyDescent="0.3">
      <c r="A316" s="22" t="s">
        <v>84</v>
      </c>
      <c r="B316" s="22">
        <v>2017</v>
      </c>
      <c r="C316" s="22">
        <v>52.231999999999999</v>
      </c>
      <c r="D316" s="23">
        <v>63.747300000000003</v>
      </c>
      <c r="E316" s="22">
        <v>2.99</v>
      </c>
      <c r="F316" s="23">
        <v>9.7795973847904101</v>
      </c>
      <c r="G316" s="23">
        <v>10727.982200742499</v>
      </c>
      <c r="H316" s="23">
        <v>8.1954782664126</v>
      </c>
      <c r="I316" s="23">
        <v>24.148900000000001</v>
      </c>
      <c r="J316" s="22">
        <v>0.50692999999999999</v>
      </c>
      <c r="K316" s="23">
        <v>18.731999999999999</v>
      </c>
      <c r="L316" s="23">
        <v>113.767</v>
      </c>
      <c r="M316" s="23">
        <v>5.1470000000000002</v>
      </c>
      <c r="N316" s="22"/>
      <c r="O316" s="22"/>
      <c r="P316" s="22"/>
      <c r="Q316" s="22"/>
      <c r="R316" s="22"/>
      <c r="S316" s="22"/>
      <c r="T316" s="22"/>
    </row>
    <row r="317" spans="1:20" x14ac:dyDescent="0.3">
      <c r="A317" s="22" t="s">
        <v>84</v>
      </c>
      <c r="B317" s="22">
        <v>2018</v>
      </c>
      <c r="C317" s="22">
        <v>52.674999999999997</v>
      </c>
      <c r="D317" s="23">
        <v>70.681299999999993</v>
      </c>
      <c r="E317" s="22">
        <v>2.92</v>
      </c>
      <c r="F317" s="23">
        <v>10.0771915943774</v>
      </c>
      <c r="G317" s="23">
        <v>12416.1343179589</v>
      </c>
      <c r="H317" s="23">
        <v>5.3945222818567498</v>
      </c>
      <c r="I317" s="23">
        <v>25.970199999999998</v>
      </c>
      <c r="J317" s="22">
        <v>0.49729000000000001</v>
      </c>
      <c r="K317" s="23">
        <v>16.611999999999998</v>
      </c>
      <c r="L317" s="23">
        <v>115.492</v>
      </c>
      <c r="M317" s="23">
        <v>4.34</v>
      </c>
      <c r="N317" s="22"/>
      <c r="O317" s="22"/>
      <c r="P317" s="22"/>
      <c r="Q317" s="22"/>
      <c r="R317" s="22"/>
      <c r="S317" s="22"/>
      <c r="T317" s="22"/>
    </row>
    <row r="318" spans="1:20" x14ac:dyDescent="0.3">
      <c r="A318" s="22" t="s">
        <v>84</v>
      </c>
      <c r="B318" s="22">
        <v>2019</v>
      </c>
      <c r="C318" s="22">
        <v>52.982999999999997</v>
      </c>
      <c r="D318" s="23">
        <v>73.657499999999999</v>
      </c>
      <c r="E318" s="22">
        <v>3.2</v>
      </c>
      <c r="F318" s="23">
        <v>11.0725693077428</v>
      </c>
      <c r="G318" s="23">
        <v>12909.6104013243</v>
      </c>
      <c r="H318" s="23">
        <v>3.96028958497598</v>
      </c>
      <c r="I318" s="23">
        <v>27.060600000000001</v>
      </c>
      <c r="J318" s="22">
        <v>0.47616000000000003</v>
      </c>
      <c r="K318" s="23">
        <v>17.146999999999998</v>
      </c>
      <c r="L318" s="23">
        <v>116.252</v>
      </c>
      <c r="M318" s="23">
        <v>3.9790000000000001</v>
      </c>
      <c r="N318" s="22"/>
      <c r="O318" s="22"/>
      <c r="P318" s="22"/>
      <c r="Q318" s="22"/>
      <c r="R318" s="22"/>
      <c r="S318" s="22"/>
      <c r="T318" s="22"/>
    </row>
    <row r="319" spans="1:20" x14ac:dyDescent="0.3">
      <c r="A319" s="22" t="s">
        <v>84</v>
      </c>
      <c r="B319" s="22">
        <v>2020</v>
      </c>
      <c r="C319" s="22">
        <v>52.29</v>
      </c>
      <c r="D319" s="23">
        <v>78.455299999999994</v>
      </c>
      <c r="E319" s="22">
        <v>3.34</v>
      </c>
      <c r="F319" s="23">
        <v>11.937042485069799</v>
      </c>
      <c r="G319" s="23">
        <v>13009.1770573222</v>
      </c>
      <c r="H319" s="23">
        <v>-3.5980254603475701</v>
      </c>
      <c r="I319" s="23">
        <v>29.3141</v>
      </c>
      <c r="J319" s="22">
        <v>0.46538000000000002</v>
      </c>
      <c r="K319" s="23">
        <v>17.585999999999999</v>
      </c>
      <c r="L319" s="23">
        <v>116.47799999999999</v>
      </c>
      <c r="M319" s="23">
        <v>5.1040000000000001</v>
      </c>
      <c r="N319" s="22"/>
      <c r="O319" s="22"/>
      <c r="P319" s="22"/>
      <c r="Q319" s="22"/>
      <c r="R319" s="22"/>
      <c r="S319" s="22"/>
      <c r="T319" s="22"/>
    </row>
    <row r="320" spans="1:20" x14ac:dyDescent="0.3">
      <c r="A320" s="22" t="s">
        <v>84</v>
      </c>
      <c r="B320" s="22">
        <v>2021</v>
      </c>
      <c r="C320" s="22">
        <v>48.213999999999999</v>
      </c>
      <c r="D320" s="23">
        <v>83.590400000000002</v>
      </c>
      <c r="E320" s="22">
        <v>3.04</v>
      </c>
      <c r="F320" s="23">
        <v>11.487940834609899</v>
      </c>
      <c r="G320" s="23">
        <v>14907.9803652142</v>
      </c>
      <c r="H320" s="23">
        <v>5.5873507253886796</v>
      </c>
      <c r="I320" s="23">
        <v>31.695</v>
      </c>
      <c r="J320" s="22">
        <v>0.47233999999999998</v>
      </c>
      <c r="K320" s="23">
        <v>21.149000000000001</v>
      </c>
      <c r="L320" s="23">
        <v>119.123</v>
      </c>
      <c r="M320" s="23">
        <v>5.1130000000000004</v>
      </c>
      <c r="N320" s="22"/>
      <c r="O320" s="22"/>
      <c r="P320" s="22"/>
      <c r="Q320" s="22"/>
      <c r="R320" s="22"/>
      <c r="S320" s="22"/>
      <c r="T320" s="22"/>
    </row>
    <row r="321" spans="1:20" x14ac:dyDescent="0.3">
      <c r="A321" s="22" t="s">
        <v>84</v>
      </c>
      <c r="B321" s="22">
        <v>2022</v>
      </c>
      <c r="C321" s="22">
        <v>48.920999999999999</v>
      </c>
      <c r="D321" s="23">
        <v>85.503100000000003</v>
      </c>
      <c r="E321" s="22">
        <v>2.83</v>
      </c>
      <c r="F321" s="23">
        <v>11.857337556019999</v>
      </c>
      <c r="G321" s="23">
        <v>15503.551804597901</v>
      </c>
      <c r="H321" s="23">
        <v>4.1877130510410803</v>
      </c>
      <c r="I321" s="23">
        <v>33.211599999999997</v>
      </c>
      <c r="J321" s="22">
        <v>0.45881</v>
      </c>
      <c r="K321" s="23">
        <v>22.870999999999999</v>
      </c>
      <c r="L321" s="23">
        <v>121.142</v>
      </c>
      <c r="M321" s="23">
        <v>5.2060000000000004</v>
      </c>
      <c r="N321" s="22"/>
      <c r="O321" s="22"/>
      <c r="P321" s="22"/>
      <c r="Q321" s="22"/>
      <c r="R321" s="22"/>
      <c r="S321" s="22"/>
      <c r="T321" s="22"/>
    </row>
    <row r="322" spans="1:20" x14ac:dyDescent="0.3">
      <c r="A322" s="28" t="s">
        <v>83</v>
      </c>
      <c r="B322" s="28">
        <v>2007</v>
      </c>
      <c r="C322" s="28">
        <f t="array" ref="C322:C337">TRANSPOSE(EMPLOYrate!D20:S20)</f>
        <v>59.762999999999998</v>
      </c>
      <c r="D322" s="29" cm="1">
        <f t="array" ref="D322:D337">TRANSPOSE(ictuse!D26:S26)</f>
        <v>82.01</v>
      </c>
      <c r="E322" s="28">
        <f t="array" ref="E322:E337">TRANSPOSE(ictgoods!D23:S23)</f>
        <v>8.6</v>
      </c>
      <c r="F322" s="29" cm="1">
        <f t="array" ref="F322:F337">TRANSPOSE(hightechmanu!C28:R28)</f>
        <v>16.8057230661083</v>
      </c>
      <c r="G322" s="29" cm="1">
        <f t="array" ref="G322:G337">TRANSPOSE(gdppercapita!D14:S14)</f>
        <v>53568.3057787832</v>
      </c>
      <c r="H322" s="29" cm="1">
        <f t="array" ref="H322:H337">TRANSPOSE(gdpannual!D17:S17)</f>
        <v>3.2248681409609499</v>
      </c>
      <c r="I322" s="29" cm="1">
        <f t="array" ref="I322:I337">TRANSPOSE(fixedbroadband!D6:S6)</f>
        <v>30.391500000000001</v>
      </c>
      <c r="J322" s="28" cm="1">
        <f t="array" ref="J322:J337">TRANSPOSE(rdexpediture!D5:S5)</f>
        <v>3.2338300000000002</v>
      </c>
      <c r="K322" s="29" cm="1">
        <f t="array" ref="K322:K337">TRANSPOSE(YOUTH_EMPLOY!D27:S27)</f>
        <v>19.260000000000002</v>
      </c>
      <c r="L322" s="29">
        <f t="array" ref="L322:L337">TRANSPOSE(mobile_celular!D23:S23)</f>
        <v>110.58799999999999</v>
      </c>
      <c r="M322" s="29">
        <f t="array" ref="M322:M337">TRANSPOSE(unemployEAD!C28:R28)</f>
        <v>5.367</v>
      </c>
      <c r="N322" s="28"/>
      <c r="O322" s="28"/>
      <c r="P322" s="28"/>
      <c r="Q322" s="28"/>
      <c r="R322" s="28"/>
      <c r="S322" s="28"/>
      <c r="T322" s="28"/>
    </row>
    <row r="323" spans="1:20" x14ac:dyDescent="0.3">
      <c r="A323" s="28" t="s">
        <v>83</v>
      </c>
      <c r="B323" s="28">
        <v>2008</v>
      </c>
      <c r="C323" s="28">
        <v>59.948999999999998</v>
      </c>
      <c r="D323" s="29">
        <v>90</v>
      </c>
      <c r="E323" s="28">
        <v>8.61</v>
      </c>
      <c r="F323" s="29">
        <v>17.2485871067251</v>
      </c>
      <c r="G323" s="29">
        <v>55817.175972648503</v>
      </c>
      <c r="H323" s="29">
        <v>-0.92311325006796996</v>
      </c>
      <c r="I323" s="29">
        <v>31.484400000000001</v>
      </c>
      <c r="J323" s="28">
        <v>3.4699900000000001</v>
      </c>
      <c r="K323" s="29">
        <v>20.206</v>
      </c>
      <c r="L323" s="29">
        <v>108.613</v>
      </c>
      <c r="M323" s="29">
        <v>5.3760000000000003</v>
      </c>
      <c r="N323" s="28"/>
      <c r="O323" s="28"/>
      <c r="P323" s="28"/>
      <c r="Q323" s="28"/>
      <c r="R323" s="28"/>
      <c r="S323" s="28"/>
      <c r="T323" s="28"/>
    </row>
    <row r="324" spans="1:20" x14ac:dyDescent="0.3">
      <c r="A324" s="28" t="s">
        <v>83</v>
      </c>
      <c r="B324" s="28">
        <v>2009</v>
      </c>
      <c r="C324" s="28">
        <v>58.023000000000003</v>
      </c>
      <c r="D324" s="29">
        <v>91</v>
      </c>
      <c r="E324" s="28">
        <v>8.99</v>
      </c>
      <c r="F324" s="29">
        <v>18.773299003793699</v>
      </c>
      <c r="G324" s="29">
        <v>46707.642504474999</v>
      </c>
      <c r="H324" s="29">
        <v>-4.2556138420761798</v>
      </c>
      <c r="I324" s="29">
        <v>31.672000000000001</v>
      </c>
      <c r="J324" s="28">
        <v>3.3952800000000001</v>
      </c>
      <c r="K324" s="29">
        <v>25.024000000000001</v>
      </c>
      <c r="L324" s="29">
        <v>112.273</v>
      </c>
      <c r="M324" s="29">
        <v>8.0190000000000001</v>
      </c>
      <c r="N324" s="28"/>
      <c r="O324" s="28"/>
      <c r="P324" s="28"/>
      <c r="Q324" s="28"/>
      <c r="R324" s="28"/>
      <c r="S324" s="28"/>
      <c r="T324" s="28"/>
    </row>
    <row r="325" spans="1:20" x14ac:dyDescent="0.3">
      <c r="A325" s="28" t="s">
        <v>83</v>
      </c>
      <c r="B325" s="28">
        <v>2010</v>
      </c>
      <c r="C325" s="28">
        <v>64.460999999999999</v>
      </c>
      <c r="D325" s="29">
        <v>90</v>
      </c>
      <c r="E325" s="28">
        <v>9.7200000000000006</v>
      </c>
      <c r="F325" s="29">
        <v>19.4114842380156</v>
      </c>
      <c r="G325" s="29">
        <v>52542.575909029903</v>
      </c>
      <c r="H325" s="29">
        <v>5.7507647757925398</v>
      </c>
      <c r="I325" s="29">
        <v>31.984000000000002</v>
      </c>
      <c r="J325" s="28">
        <v>3.1678899999999999</v>
      </c>
      <c r="K325" s="29">
        <v>24.760999999999999</v>
      </c>
      <c r="L325" s="29">
        <v>117.212</v>
      </c>
      <c r="M325" s="29">
        <v>8.0960000000000001</v>
      </c>
      <c r="N325" s="28"/>
      <c r="O325" s="28"/>
      <c r="P325" s="28"/>
      <c r="Q325" s="28"/>
      <c r="R325" s="28"/>
      <c r="S325" s="28"/>
      <c r="T325" s="28"/>
    </row>
    <row r="326" spans="1:20" x14ac:dyDescent="0.3">
      <c r="A326" s="28" t="s">
        <v>83</v>
      </c>
      <c r="B326" s="28">
        <v>2011</v>
      </c>
      <c r="C326" s="28">
        <v>65.400000000000006</v>
      </c>
      <c r="D326" s="29">
        <v>92.77</v>
      </c>
      <c r="E326" s="28">
        <v>9.17</v>
      </c>
      <c r="F326" s="29">
        <v>18.698162067043501</v>
      </c>
      <c r="G326" s="29">
        <v>60379.481459932103</v>
      </c>
      <c r="H326" s="29">
        <v>3.16388567406926</v>
      </c>
      <c r="I326" s="29">
        <v>32.039099999999998</v>
      </c>
      <c r="J326" s="28">
        <v>3.18702</v>
      </c>
      <c r="K326" s="29">
        <v>22.783999999999999</v>
      </c>
      <c r="L326" s="29">
        <v>121.21899999999999</v>
      </c>
      <c r="M326" s="29">
        <v>7.05</v>
      </c>
      <c r="N326" s="28"/>
      <c r="O326" s="28"/>
      <c r="P326" s="28"/>
      <c r="Q326" s="28"/>
      <c r="R326" s="28"/>
      <c r="S326" s="28"/>
      <c r="T326" s="28"/>
    </row>
    <row r="327" spans="1:20" x14ac:dyDescent="0.3">
      <c r="A327" s="28" t="s">
        <v>83</v>
      </c>
      <c r="B327" s="28">
        <v>2012</v>
      </c>
      <c r="C327" s="28">
        <v>65.459999999999994</v>
      </c>
      <c r="D327" s="29">
        <v>93.18</v>
      </c>
      <c r="E327" s="28">
        <v>7.19</v>
      </c>
      <c r="F327" s="29">
        <v>17.983831792410399</v>
      </c>
      <c r="G327" s="29">
        <v>57749.561542085299</v>
      </c>
      <c r="H327" s="29">
        <v>-0.41439770245440799</v>
      </c>
      <c r="I327" s="29">
        <v>32.283000000000001</v>
      </c>
      <c r="J327" s="28">
        <v>3.2302499999999998</v>
      </c>
      <c r="K327" s="29">
        <v>23.609000000000002</v>
      </c>
      <c r="L327" s="29">
        <v>124.465</v>
      </c>
      <c r="M327" s="29">
        <v>7.1180000000000003</v>
      </c>
      <c r="N327" s="28"/>
      <c r="O327" s="28"/>
      <c r="P327" s="28"/>
      <c r="Q327" s="28"/>
      <c r="R327" s="28"/>
      <c r="S327" s="28"/>
      <c r="T327" s="28"/>
    </row>
    <row r="328" spans="1:20" x14ac:dyDescent="0.3">
      <c r="A328" s="28" t="s">
        <v>83</v>
      </c>
      <c r="B328" s="28">
        <v>2013</v>
      </c>
      <c r="C328" s="28">
        <v>65.744</v>
      </c>
      <c r="D328" s="29">
        <v>94.783600000000007</v>
      </c>
      <c r="E328" s="28">
        <v>6.73</v>
      </c>
      <c r="F328" s="29">
        <v>18.025383295864099</v>
      </c>
      <c r="G328" s="29">
        <v>60843.988879936798</v>
      </c>
      <c r="H328" s="29">
        <v>1.1376667180142499</v>
      </c>
      <c r="I328" s="29">
        <v>32.785499999999999</v>
      </c>
      <c r="J328" s="28">
        <v>3.2604199999999999</v>
      </c>
      <c r="K328" s="29">
        <v>23.518999999999998</v>
      </c>
      <c r="L328" s="29">
        <v>125.142</v>
      </c>
      <c r="M328" s="29">
        <v>7.133</v>
      </c>
      <c r="N328" s="28"/>
      <c r="O328" s="28"/>
      <c r="P328" s="28"/>
      <c r="Q328" s="28"/>
      <c r="R328" s="28"/>
      <c r="S328" s="28"/>
      <c r="T328" s="28"/>
    </row>
    <row r="329" spans="1:20" x14ac:dyDescent="0.3">
      <c r="A329" s="28" t="s">
        <v>83</v>
      </c>
      <c r="B329" s="28">
        <v>2014</v>
      </c>
      <c r="C329" s="28">
        <v>66.231999999999999</v>
      </c>
      <c r="D329" s="29">
        <v>92.523600000000002</v>
      </c>
      <c r="E329" s="28">
        <v>6.91</v>
      </c>
      <c r="F329" s="29">
        <v>17.877467240149699</v>
      </c>
      <c r="G329" s="29">
        <v>59583.458449171398</v>
      </c>
      <c r="H329" s="29">
        <v>2.29577238758284</v>
      </c>
      <c r="I329" s="29">
        <v>33.8414</v>
      </c>
      <c r="J329" s="28">
        <v>3.1018400000000002</v>
      </c>
      <c r="K329" s="29">
        <v>22.821999999999999</v>
      </c>
      <c r="L329" s="29">
        <v>126.98</v>
      </c>
      <c r="M329" s="29">
        <v>7.0030000000000001</v>
      </c>
      <c r="N329" s="28"/>
      <c r="O329" s="28"/>
      <c r="P329" s="28"/>
      <c r="Q329" s="28"/>
      <c r="R329" s="28"/>
      <c r="S329" s="28"/>
      <c r="T329" s="28"/>
    </row>
    <row r="330" spans="1:20" x14ac:dyDescent="0.3">
      <c r="A330" s="28" t="s">
        <v>83</v>
      </c>
      <c r="B330" s="28">
        <v>2015</v>
      </c>
      <c r="C330" s="28">
        <v>66.650000000000006</v>
      </c>
      <c r="D330" s="29">
        <v>90.610200000000006</v>
      </c>
      <c r="E330" s="28">
        <v>6.92</v>
      </c>
      <c r="F330" s="29">
        <v>18.129095412890599</v>
      </c>
      <c r="G330" s="29">
        <v>51188.1652120492</v>
      </c>
      <c r="H330" s="29">
        <v>4.3882467360858897</v>
      </c>
      <c r="I330" s="29">
        <v>35.677799999999998</v>
      </c>
      <c r="J330" s="28">
        <v>3.2190300000000001</v>
      </c>
      <c r="K330" s="29">
        <v>20.364999999999998</v>
      </c>
      <c r="L330" s="29">
        <v>128.97399999999999</v>
      </c>
      <c r="M330" s="29">
        <v>6.2229999999999999</v>
      </c>
      <c r="N330" s="28"/>
      <c r="O330" s="28"/>
      <c r="P330" s="28"/>
      <c r="Q330" s="28"/>
      <c r="R330" s="28"/>
      <c r="S330" s="28"/>
      <c r="T330" s="28"/>
    </row>
    <row r="331" spans="1:20" x14ac:dyDescent="0.3">
      <c r="A331" s="28" t="s">
        <v>83</v>
      </c>
      <c r="B331" s="28">
        <v>2016</v>
      </c>
      <c r="C331" s="28">
        <v>67.054000000000002</v>
      </c>
      <c r="D331" s="29">
        <v>89.650899999999993</v>
      </c>
      <c r="E331" s="28">
        <v>6.79</v>
      </c>
      <c r="F331" s="29">
        <v>17.837601637505301</v>
      </c>
      <c r="G331" s="29">
        <v>51703.508833285101</v>
      </c>
      <c r="H331" s="29">
        <v>2.13117914731151</v>
      </c>
      <c r="I331" s="29">
        <v>37.0822</v>
      </c>
      <c r="J331" s="28">
        <v>3.24736</v>
      </c>
      <c r="K331" s="29">
        <v>18.896000000000001</v>
      </c>
      <c r="L331" s="29">
        <v>126.402</v>
      </c>
      <c r="M331" s="29">
        <v>5.66</v>
      </c>
      <c r="N331" s="28"/>
      <c r="O331" s="28"/>
      <c r="P331" s="28"/>
      <c r="Q331" s="28"/>
      <c r="R331" s="28"/>
      <c r="S331" s="28"/>
      <c r="T331" s="28"/>
    </row>
    <row r="332" spans="1:20" x14ac:dyDescent="0.3">
      <c r="A332" s="28" t="s">
        <v>83</v>
      </c>
      <c r="B332" s="28">
        <v>2017</v>
      </c>
      <c r="C332" s="28">
        <v>67.837999999999994</v>
      </c>
      <c r="D332" s="29">
        <v>93.006299999999996</v>
      </c>
      <c r="E332" s="28">
        <v>6.07</v>
      </c>
      <c r="F332" s="29">
        <v>15.110342445952501</v>
      </c>
      <c r="G332" s="29">
        <v>53210.223331896399</v>
      </c>
      <c r="H332" s="29">
        <v>1.8828218496664499</v>
      </c>
      <c r="I332" s="29">
        <v>38.326599999999999</v>
      </c>
      <c r="J332" s="28">
        <v>3.3627899999999999</v>
      </c>
      <c r="K332" s="29">
        <v>17.875</v>
      </c>
      <c r="L332" s="29">
        <v>124.473</v>
      </c>
      <c r="M332" s="29">
        <v>5.1180000000000003</v>
      </c>
      <c r="N332" s="28"/>
      <c r="O332" s="28"/>
      <c r="P332" s="28"/>
      <c r="Q332" s="28"/>
      <c r="R332" s="28"/>
      <c r="S332" s="28"/>
      <c r="T332" s="28"/>
    </row>
    <row r="333" spans="1:20" x14ac:dyDescent="0.3">
      <c r="A333" s="28" t="s">
        <v>83</v>
      </c>
      <c r="B333" s="28">
        <v>2018</v>
      </c>
      <c r="C333" s="28">
        <v>68.33</v>
      </c>
      <c r="D333" s="29">
        <v>89.247</v>
      </c>
      <c r="E333" s="28">
        <v>5.78</v>
      </c>
      <c r="F333" s="29">
        <v>14.1643140590828</v>
      </c>
      <c r="G333" s="29">
        <v>54018.455439186</v>
      </c>
      <c r="H333" s="29">
        <v>1.7702553546772</v>
      </c>
      <c r="I333" s="29">
        <v>38.741300000000003</v>
      </c>
      <c r="J333" s="28">
        <v>3.3210600000000001</v>
      </c>
      <c r="K333" s="29">
        <v>17.399999999999999</v>
      </c>
      <c r="L333" s="29">
        <v>124.086</v>
      </c>
      <c r="M333" s="29">
        <v>4.6219999999999999</v>
      </c>
      <c r="N333" s="28"/>
      <c r="O333" s="28"/>
      <c r="P333" s="28"/>
      <c r="Q333" s="28"/>
      <c r="R333" s="28"/>
      <c r="S333" s="28"/>
      <c r="T333" s="28"/>
    </row>
    <row r="334" spans="1:20" x14ac:dyDescent="0.3">
      <c r="A334" s="28" t="s">
        <v>83</v>
      </c>
      <c r="B334" s="28">
        <v>2019</v>
      </c>
      <c r="C334" s="28">
        <v>68.343999999999994</v>
      </c>
      <c r="D334" s="29">
        <v>94.493399999999994</v>
      </c>
      <c r="E334" s="28">
        <v>6.15</v>
      </c>
      <c r="F334" s="29">
        <v>14.5057835745266</v>
      </c>
      <c r="G334" s="29">
        <v>51648.9892820514</v>
      </c>
      <c r="H334" s="29">
        <v>2.6082301286952401</v>
      </c>
      <c r="I334" s="29">
        <v>39.290599999999998</v>
      </c>
      <c r="J334" s="28">
        <v>3.3875799999999998</v>
      </c>
      <c r="K334" s="29">
        <v>20.094000000000001</v>
      </c>
      <c r="L334" s="29">
        <v>125.45699999999999</v>
      </c>
      <c r="M334" s="29">
        <v>5.0140000000000002</v>
      </c>
      <c r="N334" s="28"/>
      <c r="O334" s="28"/>
      <c r="P334" s="28"/>
      <c r="Q334" s="28"/>
      <c r="R334" s="28"/>
      <c r="S334" s="28"/>
      <c r="T334" s="28"/>
    </row>
    <row r="335" spans="1:20" x14ac:dyDescent="0.3">
      <c r="A335" s="28" t="s">
        <v>83</v>
      </c>
      <c r="B335" s="28">
        <v>2020</v>
      </c>
      <c r="C335" s="28">
        <v>67.212000000000003</v>
      </c>
      <c r="D335" s="29">
        <v>94.539400000000001</v>
      </c>
      <c r="E335" s="28">
        <v>6.58</v>
      </c>
      <c r="F335" s="29">
        <v>15.135950838023801</v>
      </c>
      <c r="G335" s="29">
        <v>52568.572698014599</v>
      </c>
      <c r="H335" s="29">
        <v>-1.93379704032216</v>
      </c>
      <c r="I335" s="29">
        <v>40.368000000000002</v>
      </c>
      <c r="J335" s="28">
        <v>3.4895999999999998</v>
      </c>
      <c r="K335" s="29">
        <v>23.895</v>
      </c>
      <c r="L335" s="29">
        <v>123.54900000000001</v>
      </c>
      <c r="M335" s="29">
        <v>6.3159999999999998</v>
      </c>
      <c r="N335" s="28"/>
      <c r="O335" s="28"/>
      <c r="P335" s="28"/>
      <c r="Q335" s="28"/>
      <c r="R335" s="28"/>
      <c r="S335" s="28"/>
      <c r="T335" s="28"/>
    </row>
    <row r="336" spans="1:20" x14ac:dyDescent="0.3">
      <c r="A336" s="28" t="s">
        <v>83</v>
      </c>
      <c r="B336" s="28">
        <v>2021</v>
      </c>
      <c r="C336" s="28">
        <v>60.698999999999998</v>
      </c>
      <c r="D336" s="29">
        <v>94.670299999999997</v>
      </c>
      <c r="E336" s="28">
        <v>5.93</v>
      </c>
      <c r="F336" s="29">
        <v>13.9348317468926</v>
      </c>
      <c r="G336" s="29">
        <v>60647.541636534603</v>
      </c>
      <c r="H336" s="29">
        <v>5.22586430287729</v>
      </c>
      <c r="I336" s="29">
        <v>40.835099999999997</v>
      </c>
      <c r="J336" s="28">
        <v>3.4021599999999999</v>
      </c>
      <c r="K336" s="29">
        <v>24.599</v>
      </c>
      <c r="L336" s="29">
        <v>124.961</v>
      </c>
      <c r="M336" s="29">
        <v>6.6680000000000001</v>
      </c>
      <c r="N336" s="28"/>
      <c r="O336" s="28"/>
      <c r="P336" s="28"/>
      <c r="Q336" s="28"/>
      <c r="R336" s="28"/>
      <c r="S336" s="28"/>
      <c r="T336" s="28"/>
    </row>
    <row r="337" spans="1:20" x14ac:dyDescent="0.3">
      <c r="A337" s="28" t="s">
        <v>83</v>
      </c>
      <c r="B337" s="28">
        <v>2022</v>
      </c>
      <c r="C337" s="28">
        <v>61.966999999999999</v>
      </c>
      <c r="D337" s="29">
        <v>95.009699999999995</v>
      </c>
      <c r="E337" s="28">
        <v>5.27</v>
      </c>
      <c r="F337" s="29">
        <v>17.256654136370202</v>
      </c>
      <c r="G337" s="29">
        <v>54836.890723512297</v>
      </c>
      <c r="H337" s="29">
        <v>1.25543620445816</v>
      </c>
      <c r="I337" s="29">
        <v>40.609299999999998</v>
      </c>
      <c r="J337" s="28">
        <v>3.40822</v>
      </c>
      <c r="K337" s="29">
        <v>21.606999999999999</v>
      </c>
      <c r="L337" s="29">
        <v>140.78200000000001</v>
      </c>
      <c r="M337" s="29">
        <v>5.6550000000000002</v>
      </c>
      <c r="N337" s="28"/>
      <c r="O337" s="28"/>
      <c r="P337" s="28"/>
      <c r="Q337" s="28"/>
      <c r="R337" s="28"/>
      <c r="S337" s="28"/>
      <c r="T337" s="28"/>
    </row>
    <row r="338" spans="1:20" x14ac:dyDescent="0.3">
      <c r="A338" s="20" t="s">
        <v>17</v>
      </c>
      <c r="B338" s="20">
        <v>2007</v>
      </c>
      <c r="C338" s="20">
        <f t="array" ref="C338:C353">TRANSPOSE(EMPLOYrate!D12:S12)</f>
        <v>56.817999999999998</v>
      </c>
      <c r="D338" s="21" cm="1">
        <f t="array" ref="D338:D353">TRANSPOSE(ictuse!D25:S25)</f>
        <v>56.74</v>
      </c>
      <c r="E338" s="20">
        <f t="array" ref="E338:E353">TRANSPOSE(ictgoods!D21:S21)</f>
        <v>1.45</v>
      </c>
      <c r="F338" s="21" cm="1">
        <f t="array" ref="F338:F353">TRANSPOSE(hightechmanu!C27:R27)</f>
        <v>5.6865088902449799</v>
      </c>
      <c r="G338" s="21" cm="1">
        <f t="array" ref="G338:G353">TRANSPOSE(gdppercapita!D25:S25)</f>
        <v>23725.159600151499</v>
      </c>
      <c r="H338" s="21" cm="1">
        <f t="array" ref="H338:H353">TRANSPOSE(gdpannual!D24:S24)</f>
        <v>7.1392312914716003</v>
      </c>
      <c r="I338" s="21" cm="1">
        <f t="array" ref="I338:I353">TRANSPOSE(fixedbroadband!D3:S3)</f>
        <v>17.1127</v>
      </c>
      <c r="J338" s="20" cm="1">
        <f t="array" ref="J338:J353">TRANSPOSE(rdexpediture!D17:S17)</f>
        <v>1.42703</v>
      </c>
      <c r="K338" s="21" cm="1">
        <f t="array" ref="K338:K353">TRANSPOSE(YOUTH_EMPLOY!D26:S26)</f>
        <v>10.127000000000001</v>
      </c>
      <c r="L338" s="21">
        <f t="array" ref="L338:L353">TRANSPOSE(mobile_celular!D3:S3)</f>
        <v>95.742800000000003</v>
      </c>
      <c r="M338" s="21">
        <f t="array" ref="M338:M353">TRANSPOSE(unemployEAD!C27:R27)</f>
        <v>4.9550000000000001</v>
      </c>
      <c r="N338" s="20"/>
      <c r="O338" s="20"/>
      <c r="P338" s="20"/>
      <c r="Q338" s="20"/>
      <c r="R338" s="20"/>
      <c r="S338" s="20"/>
      <c r="T338" s="20"/>
    </row>
    <row r="339" spans="1:20" x14ac:dyDescent="0.3">
      <c r="A339" s="20" t="s">
        <v>17</v>
      </c>
      <c r="B339" s="20">
        <v>2008</v>
      </c>
      <c r="C339" s="20">
        <v>56.887999999999998</v>
      </c>
      <c r="D339" s="21">
        <v>58</v>
      </c>
      <c r="E339" s="20">
        <v>2.11</v>
      </c>
      <c r="F339" s="21">
        <v>6.4851370508961397</v>
      </c>
      <c r="G339" s="21">
        <v>27461.976416531499</v>
      </c>
      <c r="H339" s="21">
        <v>3.3722386611412598</v>
      </c>
      <c r="I339" s="21">
        <v>21.001300000000001</v>
      </c>
      <c r="J339" s="20">
        <v>1.62673</v>
      </c>
      <c r="K339" s="21">
        <v>10.506</v>
      </c>
      <c r="L339" s="21">
        <v>101.47199999999999</v>
      </c>
      <c r="M339" s="21">
        <v>4.3550000000000004</v>
      </c>
      <c r="N339" s="20"/>
      <c r="O339" s="20"/>
      <c r="P339" s="20"/>
      <c r="Q339" s="20"/>
      <c r="R339" s="20"/>
      <c r="S339" s="20"/>
      <c r="T339" s="20"/>
    </row>
    <row r="340" spans="1:20" x14ac:dyDescent="0.3">
      <c r="A340" s="20" t="s">
        <v>17</v>
      </c>
      <c r="B340" s="20">
        <v>2009</v>
      </c>
      <c r="C340" s="20">
        <v>55.95</v>
      </c>
      <c r="D340" s="21">
        <v>64</v>
      </c>
      <c r="E340" s="20">
        <v>2.3199999999999998</v>
      </c>
      <c r="F340" s="21">
        <v>6.8479357075228799</v>
      </c>
      <c r="G340" s="21">
        <v>24501.789729042499</v>
      </c>
      <c r="H340" s="21">
        <v>-7.5905861404638699</v>
      </c>
      <c r="I340" s="21">
        <v>22.058800000000002</v>
      </c>
      <c r="J340" s="20">
        <v>1.8118399999999999</v>
      </c>
      <c r="K340" s="21">
        <v>13.661</v>
      </c>
      <c r="L340" s="21">
        <v>103.185</v>
      </c>
      <c r="M340" s="21">
        <v>6.31</v>
      </c>
      <c r="N340" s="20"/>
      <c r="O340" s="20"/>
      <c r="P340" s="20"/>
      <c r="Q340" s="20"/>
      <c r="R340" s="20"/>
      <c r="S340" s="20"/>
      <c r="T340" s="20"/>
    </row>
    <row r="341" spans="1:20" x14ac:dyDescent="0.3">
      <c r="A341" s="20" t="s">
        <v>17</v>
      </c>
      <c r="B341" s="20">
        <v>2010</v>
      </c>
      <c r="C341" s="20">
        <v>54.889000000000003</v>
      </c>
      <c r="D341" s="21">
        <v>70</v>
      </c>
      <c r="E341" s="20">
        <v>2.1800000000000002</v>
      </c>
      <c r="F341" s="21">
        <v>6.0789483715091501</v>
      </c>
      <c r="G341" s="21">
        <v>23329.841769115501</v>
      </c>
      <c r="H341" s="21">
        <v>1.11213719306735</v>
      </c>
      <c r="I341" s="21">
        <v>23.013000000000002</v>
      </c>
      <c r="J341" s="20">
        <v>2.0513300000000001</v>
      </c>
      <c r="K341" s="21">
        <v>14.7</v>
      </c>
      <c r="L341" s="21">
        <v>103.783</v>
      </c>
      <c r="M341" s="21">
        <v>7.5049999999999999</v>
      </c>
      <c r="N341" s="20"/>
      <c r="O341" s="20"/>
      <c r="P341" s="20"/>
      <c r="Q341" s="20"/>
      <c r="R341" s="20"/>
      <c r="S341" s="20"/>
      <c r="T341" s="20"/>
    </row>
    <row r="342" spans="1:20" x14ac:dyDescent="0.3">
      <c r="A342" s="20" t="s">
        <v>17</v>
      </c>
      <c r="B342" s="20">
        <v>2011</v>
      </c>
      <c r="C342" s="20">
        <v>53.192999999999998</v>
      </c>
      <c r="D342" s="21">
        <v>67.34</v>
      </c>
      <c r="E342" s="20">
        <v>1.92</v>
      </c>
      <c r="F342" s="21">
        <v>6.2145415781994204</v>
      </c>
      <c r="G342" s="21">
        <v>24940.628484160399</v>
      </c>
      <c r="H342" s="21">
        <v>0.65543812837974202</v>
      </c>
      <c r="I342" s="21">
        <v>24.129799999999999</v>
      </c>
      <c r="J342" s="20">
        <v>2.4129700000000001</v>
      </c>
      <c r="K342" s="21">
        <v>15.763999999999999</v>
      </c>
      <c r="L342" s="21">
        <v>105.845</v>
      </c>
      <c r="M342" s="21">
        <v>8.6509999999999998</v>
      </c>
      <c r="N342" s="20"/>
      <c r="O342" s="20"/>
      <c r="P342" s="20"/>
      <c r="Q342" s="20"/>
      <c r="R342" s="20"/>
      <c r="S342" s="20"/>
      <c r="T342" s="20"/>
    </row>
    <row r="343" spans="1:20" x14ac:dyDescent="0.3">
      <c r="A343" s="20" t="s">
        <v>17</v>
      </c>
      <c r="B343" s="20">
        <v>2012</v>
      </c>
      <c r="C343" s="20">
        <v>52.448999999999998</v>
      </c>
      <c r="D343" s="21">
        <v>68.349999999999994</v>
      </c>
      <c r="E343" s="20">
        <v>1.79</v>
      </c>
      <c r="F343" s="21">
        <v>6.6617719129969997</v>
      </c>
      <c r="G343" s="21">
        <v>22442.1417859955</v>
      </c>
      <c r="H343" s="21">
        <v>-2.9155378204046198</v>
      </c>
      <c r="I343" s="21">
        <v>24.805499999999999</v>
      </c>
      <c r="J343" s="20">
        <v>2.5606100000000001</v>
      </c>
      <c r="K343" s="21">
        <v>20.649000000000001</v>
      </c>
      <c r="L343" s="21">
        <v>109.148</v>
      </c>
      <c r="M343" s="21">
        <v>9.0820000000000007</v>
      </c>
      <c r="N343" s="20"/>
      <c r="O343" s="20"/>
      <c r="P343" s="20"/>
      <c r="Q343" s="20"/>
      <c r="R343" s="20"/>
      <c r="S343" s="20"/>
      <c r="T343" s="20"/>
    </row>
    <row r="344" spans="1:20" x14ac:dyDescent="0.3">
      <c r="A344" s="20" t="s">
        <v>17</v>
      </c>
      <c r="B344" s="20">
        <v>2013</v>
      </c>
      <c r="C344" s="20">
        <v>51.460999999999999</v>
      </c>
      <c r="D344" s="21">
        <v>72.675600000000003</v>
      </c>
      <c r="E344" s="20">
        <v>1.67</v>
      </c>
      <c r="F344" s="21">
        <v>6.7381828385442697</v>
      </c>
      <c r="G344" s="21">
        <v>23236.965532169499</v>
      </c>
      <c r="H344" s="21">
        <v>-0.82377641769167498</v>
      </c>
      <c r="I344" s="21">
        <v>25.511099999999999</v>
      </c>
      <c r="J344" s="20">
        <v>2.56487</v>
      </c>
      <c r="K344" s="21">
        <v>21.664999999999999</v>
      </c>
      <c r="L344" s="21">
        <v>111.045</v>
      </c>
      <c r="M344" s="21">
        <v>10.714</v>
      </c>
      <c r="N344" s="20"/>
      <c r="O344" s="20"/>
      <c r="P344" s="20"/>
      <c r="Q344" s="20"/>
      <c r="R344" s="20"/>
      <c r="S344" s="20"/>
      <c r="T344" s="20"/>
    </row>
    <row r="345" spans="1:20" x14ac:dyDescent="0.3">
      <c r="A345" s="20" t="s">
        <v>17</v>
      </c>
      <c r="B345" s="20">
        <v>2014</v>
      </c>
      <c r="C345" s="20">
        <v>52.095999999999997</v>
      </c>
      <c r="D345" s="21">
        <v>71.586299999999994</v>
      </c>
      <c r="E345" s="20">
        <v>1.88</v>
      </c>
      <c r="F345" s="21">
        <v>6.4171900797440697</v>
      </c>
      <c r="G345" s="21">
        <v>24013.068206095901</v>
      </c>
      <c r="H345" s="21">
        <v>2.7628332763974099</v>
      </c>
      <c r="I345" s="21">
        <v>27.002300000000002</v>
      </c>
      <c r="J345" s="20">
        <v>2.3654799999999998</v>
      </c>
      <c r="K345" s="21">
        <v>20.236000000000001</v>
      </c>
      <c r="L345" s="21">
        <v>113.01900000000001</v>
      </c>
      <c r="M345" s="21">
        <v>10.407</v>
      </c>
      <c r="N345" s="20"/>
      <c r="O345" s="20"/>
      <c r="P345" s="20"/>
      <c r="Q345" s="20"/>
      <c r="R345" s="20"/>
      <c r="S345" s="20"/>
      <c r="T345" s="20"/>
    </row>
    <row r="346" spans="1:20" x14ac:dyDescent="0.3">
      <c r="A346" s="20" t="s">
        <v>17</v>
      </c>
      <c r="B346" s="20">
        <v>2015</v>
      </c>
      <c r="C346" s="20">
        <v>52.179000000000002</v>
      </c>
      <c r="D346" s="21">
        <v>73.098699999999994</v>
      </c>
      <c r="E346" s="20">
        <v>2.02</v>
      </c>
      <c r="F346" s="21">
        <v>7.0076944564910502</v>
      </c>
      <c r="G346" s="21">
        <v>20697.274853061801</v>
      </c>
      <c r="H346" s="21">
        <v>2.39330621338167</v>
      </c>
      <c r="I346" s="21">
        <v>27.6233</v>
      </c>
      <c r="J346" s="20">
        <v>2.1956500000000001</v>
      </c>
      <c r="K346" s="21">
        <v>16.298999999999999</v>
      </c>
      <c r="L346" s="21">
        <v>114.271</v>
      </c>
      <c r="M346" s="21">
        <v>9.9139999999999997</v>
      </c>
      <c r="N346" s="20"/>
      <c r="O346" s="20"/>
      <c r="P346" s="20"/>
      <c r="Q346" s="20"/>
      <c r="R346" s="20"/>
      <c r="S346" s="20"/>
      <c r="T346" s="20"/>
    </row>
    <row r="347" spans="1:20" x14ac:dyDescent="0.3">
      <c r="A347" s="20" t="s">
        <v>17</v>
      </c>
      <c r="B347" s="20">
        <v>2016</v>
      </c>
      <c r="C347" s="20">
        <v>52.067999999999998</v>
      </c>
      <c r="D347" s="21">
        <v>75.498500000000007</v>
      </c>
      <c r="E347" s="20">
        <v>1.81</v>
      </c>
      <c r="F347" s="21">
        <v>7.1441867480575798</v>
      </c>
      <c r="G347" s="21">
        <v>21447.8377796036</v>
      </c>
      <c r="H347" s="21">
        <v>3.03441486663653</v>
      </c>
      <c r="I347" s="21">
        <v>28.588899999999999</v>
      </c>
      <c r="J347" s="20">
        <v>2.0076399999999999</v>
      </c>
      <c r="K347" s="21">
        <v>15.243</v>
      </c>
      <c r="L347" s="21">
        <v>115.736</v>
      </c>
      <c r="M347" s="21">
        <v>8.0540000000000003</v>
      </c>
      <c r="N347" s="20"/>
      <c r="O347" s="20"/>
      <c r="P347" s="20"/>
      <c r="Q347" s="20"/>
      <c r="R347" s="20"/>
      <c r="S347" s="20"/>
      <c r="T347" s="20"/>
    </row>
    <row r="348" spans="1:20" x14ac:dyDescent="0.3">
      <c r="A348" s="20" t="s">
        <v>17</v>
      </c>
      <c r="B348" s="20">
        <v>2017</v>
      </c>
      <c r="C348" s="20">
        <v>54.59</v>
      </c>
      <c r="D348" s="21">
        <v>78.885400000000004</v>
      </c>
      <c r="E348" s="20">
        <v>1.83</v>
      </c>
      <c r="F348" s="21">
        <v>6.5084482480458403</v>
      </c>
      <c r="G348" s="21">
        <v>23303.077705959</v>
      </c>
      <c r="H348" s="21">
        <v>5.1744021557995801</v>
      </c>
      <c r="I348" s="21">
        <v>29.180399999999999</v>
      </c>
      <c r="J348" s="20">
        <v>1.8653</v>
      </c>
      <c r="K348" s="21">
        <v>11.24</v>
      </c>
      <c r="L348" s="21">
        <v>118.462</v>
      </c>
      <c r="M348" s="21">
        <v>6.6970000000000001</v>
      </c>
      <c r="N348" s="20"/>
      <c r="O348" s="20"/>
      <c r="P348" s="20"/>
      <c r="Q348" s="20"/>
      <c r="R348" s="20"/>
      <c r="S348" s="20"/>
      <c r="T348" s="20"/>
    </row>
    <row r="349" spans="1:20" x14ac:dyDescent="0.3">
      <c r="A349" s="20" t="s">
        <v>17</v>
      </c>
      <c r="B349" s="20">
        <v>2018</v>
      </c>
      <c r="C349" s="20">
        <v>55.805</v>
      </c>
      <c r="D349" s="21">
        <v>79.75</v>
      </c>
      <c r="E349" s="20">
        <v>1.63</v>
      </c>
      <c r="F349" s="21">
        <v>6.8305398232145604</v>
      </c>
      <c r="G349" s="21">
        <v>25888.0481065655</v>
      </c>
      <c r="H349" s="21">
        <v>4.3790834733119501</v>
      </c>
      <c r="I349" s="21">
        <v>29.608599999999999</v>
      </c>
      <c r="J349" s="20">
        <v>1.9459299999999999</v>
      </c>
      <c r="K349" s="21">
        <v>8.8170000000000002</v>
      </c>
      <c r="L349" s="21">
        <v>119.15300000000001</v>
      </c>
      <c r="M349" s="21">
        <v>5.4870000000000001</v>
      </c>
      <c r="N349" s="20"/>
      <c r="O349" s="20"/>
      <c r="P349" s="20"/>
      <c r="Q349" s="20"/>
      <c r="R349" s="20"/>
      <c r="S349" s="20"/>
      <c r="T349" s="20"/>
    </row>
    <row r="350" spans="1:20" x14ac:dyDescent="0.3">
      <c r="A350" s="20" t="s">
        <v>17</v>
      </c>
      <c r="B350" s="20">
        <v>2019</v>
      </c>
      <c r="C350" s="20">
        <v>55.484999999999999</v>
      </c>
      <c r="D350" s="21">
        <v>83.108400000000003</v>
      </c>
      <c r="E350" s="20">
        <v>1.79</v>
      </c>
      <c r="F350" s="21">
        <v>7.3539245036076597</v>
      </c>
      <c r="G350" s="21">
        <v>25814.168716757202</v>
      </c>
      <c r="H350" s="21">
        <v>3.5052533238191099</v>
      </c>
      <c r="I350" s="21">
        <v>30.139500000000002</v>
      </c>
      <c r="J350" s="20">
        <v>2.0392199999999998</v>
      </c>
      <c r="K350" s="21">
        <v>8.1359999999999992</v>
      </c>
      <c r="L350" s="21">
        <v>120.569</v>
      </c>
      <c r="M350" s="21">
        <v>4.6440000000000001</v>
      </c>
      <c r="N350" s="20"/>
      <c r="O350" s="20"/>
      <c r="P350" s="20"/>
      <c r="Q350" s="20"/>
      <c r="R350" s="20"/>
      <c r="S350" s="20"/>
      <c r="T350" s="20"/>
    </row>
    <row r="351" spans="1:20" x14ac:dyDescent="0.3">
      <c r="A351" s="20" t="s">
        <v>17</v>
      </c>
      <c r="B351" s="20">
        <v>2020</v>
      </c>
      <c r="C351" s="20">
        <v>54.890999999999998</v>
      </c>
      <c r="D351" s="21">
        <v>86.601299999999995</v>
      </c>
      <c r="E351" s="20">
        <v>1.81</v>
      </c>
      <c r="F351" s="21">
        <v>7.7998527857080697</v>
      </c>
      <c r="G351" s="21">
        <v>25392.0651093612</v>
      </c>
      <c r="H351" s="21">
        <v>-4.0850009494289496</v>
      </c>
      <c r="I351" s="21">
        <v>30.992999999999999</v>
      </c>
      <c r="J351" s="20">
        <v>2.1415600000000001</v>
      </c>
      <c r="K351" s="21">
        <v>14.179</v>
      </c>
      <c r="L351" s="21">
        <v>121.331</v>
      </c>
      <c r="M351" s="21">
        <v>5.5279999999999996</v>
      </c>
      <c r="N351" s="20"/>
      <c r="O351" s="20"/>
      <c r="P351" s="20"/>
      <c r="Q351" s="20"/>
      <c r="R351" s="20"/>
      <c r="S351" s="20"/>
      <c r="T351" s="20"/>
    </row>
    <row r="352" spans="1:20" x14ac:dyDescent="0.3">
      <c r="A352" s="20" t="s">
        <v>17</v>
      </c>
      <c r="B352" s="20">
        <v>2021</v>
      </c>
      <c r="C352" s="20">
        <v>55.704000000000001</v>
      </c>
      <c r="D352" s="21">
        <v>89.004000000000005</v>
      </c>
      <c r="E352" s="20">
        <v>2.52</v>
      </c>
      <c r="F352" s="21">
        <v>6.20930603257084</v>
      </c>
      <c r="G352" s="21">
        <v>29192.840193301799</v>
      </c>
      <c r="H352" s="21">
        <v>8.4168645772532003</v>
      </c>
      <c r="I352" s="21">
        <v>31.5503</v>
      </c>
      <c r="J352" s="20">
        <v>2.1280000000000001</v>
      </c>
      <c r="K352" s="21">
        <v>12.846</v>
      </c>
      <c r="L352" s="21">
        <v>123.363</v>
      </c>
      <c r="M352" s="21">
        <v>5.4059999999999997</v>
      </c>
      <c r="N352" s="20"/>
      <c r="O352" s="20"/>
      <c r="P352" s="20"/>
      <c r="Q352" s="20"/>
      <c r="R352" s="20"/>
      <c r="S352" s="20"/>
      <c r="T352" s="20"/>
    </row>
    <row r="353" spans="1:20" x14ac:dyDescent="0.3">
      <c r="A353" s="20" t="s">
        <v>17</v>
      </c>
      <c r="B353" s="20">
        <v>2022</v>
      </c>
      <c r="C353" s="20">
        <v>56.579000000000001</v>
      </c>
      <c r="D353" s="21">
        <v>88.912499999999994</v>
      </c>
      <c r="E353" s="20">
        <v>2.17</v>
      </c>
      <c r="F353" s="21">
        <v>8.5697864392421206</v>
      </c>
      <c r="G353" s="21">
        <v>28360.304146726801</v>
      </c>
      <c r="H353" s="21">
        <v>2.6685055554248498</v>
      </c>
      <c r="I353" s="21">
        <v>32.0105</v>
      </c>
      <c r="J353" s="20">
        <v>2.0952500000000001</v>
      </c>
      <c r="K353" s="21">
        <v>10.14</v>
      </c>
      <c r="L353" s="21">
        <v>126.459</v>
      </c>
      <c r="M353" s="21">
        <v>4.4630000000000001</v>
      </c>
      <c r="N353" s="20"/>
      <c r="O353" s="20"/>
      <c r="P353" s="20"/>
      <c r="Q353" s="20"/>
      <c r="R353" s="20"/>
      <c r="S353" s="20"/>
      <c r="T353" s="20"/>
    </row>
    <row r="354" spans="1:20" x14ac:dyDescent="0.3">
      <c r="A354" s="32" t="s">
        <v>82</v>
      </c>
      <c r="B354" s="32">
        <v>2007</v>
      </c>
      <c r="C354" s="32">
        <f t="array" ref="C354:C369">TRANSPOSE(EMPLOYrate!D14:S14)</f>
        <v>54.01</v>
      </c>
      <c r="D354" s="33" cm="1">
        <f t="array" ref="D354:D369">TRANSPOSE(ictuse!D6:S6)</f>
        <v>75.16</v>
      </c>
      <c r="E354" s="32">
        <f t="array" ref="E354:E369">TRANSPOSE(ictgoods!D18:S18)</f>
        <v>5.89</v>
      </c>
      <c r="F354" s="33" cm="1">
        <f t="array" ref="F354:F369">TRANSPOSE(hightechmanu!C7:R7)</f>
        <v>15.4623925898068</v>
      </c>
      <c r="G354" s="33" cm="1">
        <f t="array" ref="G354:G369">TRANSPOSE(gdppercapita!D11:S11)</f>
        <v>42350.921721148799</v>
      </c>
      <c r="H354" s="33" cm="1">
        <f t="array" ref="H354:H369">TRANSPOSE(gdpannual!D11:S11)</f>
        <v>2.8891174138024902</v>
      </c>
      <c r="I354" s="33" cm="1">
        <f t="array" ref="I354:I369">TRANSPOSE(fixedbroadband!D27:S27)</f>
        <v>24.294899999999998</v>
      </c>
      <c r="J354" s="32" cm="1">
        <f t="array" ref="J354:J369">TRANSPOSE(rdexpediture!D10:S10)</f>
        <v>2.46048</v>
      </c>
      <c r="K354" s="33" cm="1">
        <f t="array" ref="K354:K369">TRANSPOSE(YOUTH_EMPLOY!D7:S7)</f>
        <v>11.824</v>
      </c>
      <c r="L354" s="33">
        <f t="array" ref="L354:L369">TRANSPOSE(mobile_celular!D20:S20)</f>
        <v>118.37</v>
      </c>
      <c r="M354" s="33">
        <f t="array" ref="M354:M369">TRANSPOSE(unemployEAD!C7:R7)</f>
        <v>8.2490000000000006</v>
      </c>
      <c r="N354" s="32"/>
      <c r="O354" s="32"/>
      <c r="P354" s="32"/>
      <c r="Q354" s="32"/>
      <c r="R354" s="32"/>
      <c r="S354" s="32"/>
      <c r="T354" s="32"/>
    </row>
    <row r="355" spans="1:20" x14ac:dyDescent="0.3">
      <c r="A355" s="32" t="s">
        <v>82</v>
      </c>
      <c r="B355" s="32">
        <v>2008</v>
      </c>
      <c r="C355" s="32">
        <v>54.911999999999999</v>
      </c>
      <c r="D355" s="33">
        <v>78</v>
      </c>
      <c r="E355" s="32">
        <v>5.42</v>
      </c>
      <c r="F355" s="33">
        <v>15.076241600562</v>
      </c>
      <c r="G355" s="33">
        <v>46379.164795347802</v>
      </c>
      <c r="H355" s="33">
        <v>0.88790233074362801</v>
      </c>
      <c r="I355" s="33">
        <v>27.998899999999999</v>
      </c>
      <c r="J355" s="32">
        <v>2.6151300000000002</v>
      </c>
      <c r="K355" s="33">
        <v>10.929</v>
      </c>
      <c r="L355" s="33">
        <v>130.09700000000001</v>
      </c>
      <c r="M355" s="33">
        <v>7.2220000000000004</v>
      </c>
      <c r="N355" s="32"/>
      <c r="O355" s="32"/>
      <c r="P355" s="32"/>
      <c r="Q355" s="32"/>
      <c r="R355" s="32"/>
      <c r="S355" s="32"/>
      <c r="T355" s="32"/>
    </row>
    <row r="356" spans="1:20" x14ac:dyDescent="0.3">
      <c r="A356" s="32" t="s">
        <v>82</v>
      </c>
      <c r="B356" s="32">
        <v>2009</v>
      </c>
      <c r="C356" s="32">
        <v>54.951000000000001</v>
      </c>
      <c r="D356" s="33">
        <v>79</v>
      </c>
      <c r="E356" s="32">
        <v>5.16</v>
      </c>
      <c r="F356" s="33">
        <v>16.7942910292468</v>
      </c>
      <c r="G356" s="33">
        <v>42471.8868625225</v>
      </c>
      <c r="H356" s="33">
        <v>-5.5445545192067396</v>
      </c>
      <c r="I356" s="33">
        <v>30.845099999999999</v>
      </c>
      <c r="J356" s="32">
        <v>2.7426599999999999</v>
      </c>
      <c r="K356" s="33">
        <v>11.308999999999999</v>
      </c>
      <c r="L356" s="33">
        <v>129.733</v>
      </c>
      <c r="M356" s="33">
        <v>7.5990000000000002</v>
      </c>
      <c r="N356" s="32"/>
      <c r="O356" s="32"/>
      <c r="P356" s="32"/>
      <c r="Q356" s="32"/>
      <c r="R356" s="32"/>
      <c r="S356" s="32"/>
      <c r="T356" s="32"/>
    </row>
    <row r="357" spans="1:20" x14ac:dyDescent="0.3">
      <c r="A357" s="32" t="s">
        <v>82</v>
      </c>
      <c r="B357" s="32">
        <v>2010</v>
      </c>
      <c r="C357" s="32">
        <v>55.149000000000001</v>
      </c>
      <c r="D357" s="33">
        <v>82</v>
      </c>
      <c r="E357" s="32">
        <v>5.28</v>
      </c>
      <c r="F357" s="33">
        <v>16.8896855327149</v>
      </c>
      <c r="G357" s="33">
        <v>42396.966597629304</v>
      </c>
      <c r="H357" s="33">
        <v>4.1346377852275804</v>
      </c>
      <c r="I357" s="33">
        <v>32.366300000000003</v>
      </c>
      <c r="J357" s="32">
        <v>2.7302399999999998</v>
      </c>
      <c r="K357" s="33">
        <v>10.416</v>
      </c>
      <c r="L357" s="33">
        <v>109.364</v>
      </c>
      <c r="M357" s="33">
        <v>6.83</v>
      </c>
      <c r="N357" s="32"/>
      <c r="O357" s="32"/>
      <c r="P357" s="32"/>
      <c r="Q357" s="32"/>
      <c r="R357" s="32"/>
      <c r="S357" s="32"/>
      <c r="T357" s="32"/>
    </row>
    <row r="358" spans="1:20" x14ac:dyDescent="0.3">
      <c r="A358" s="32" t="s">
        <v>82</v>
      </c>
      <c r="B358" s="32">
        <v>2011</v>
      </c>
      <c r="C358" s="32">
        <v>56.551000000000002</v>
      </c>
      <c r="D358" s="33">
        <v>81.27</v>
      </c>
      <c r="E358" s="32">
        <v>4.6399999999999997</v>
      </c>
      <c r="F358" s="33">
        <v>16.341718628511401</v>
      </c>
      <c r="G358" s="33">
        <v>47630.976188357199</v>
      </c>
      <c r="H358" s="33">
        <v>3.7579688448933601</v>
      </c>
      <c r="I358" s="33">
        <v>33.709899999999998</v>
      </c>
      <c r="J358" s="32">
        <v>2.8055500000000002</v>
      </c>
      <c r="K358" s="33">
        <v>8.9269999999999996</v>
      </c>
      <c r="L358" s="33">
        <v>112.419</v>
      </c>
      <c r="M358" s="33">
        <v>5.7030000000000003</v>
      </c>
      <c r="N358" s="32"/>
      <c r="O358" s="32"/>
      <c r="P358" s="32"/>
      <c r="Q358" s="32"/>
      <c r="R358" s="32"/>
      <c r="S358" s="32"/>
      <c r="T358" s="32"/>
    </row>
    <row r="359" spans="1:20" x14ac:dyDescent="0.3">
      <c r="A359" s="32" t="s">
        <v>82</v>
      </c>
      <c r="B359" s="32">
        <v>2012</v>
      </c>
      <c r="C359" s="32">
        <v>56.847999999999999</v>
      </c>
      <c r="D359" s="33">
        <v>82.35</v>
      </c>
      <c r="E359" s="32">
        <v>4.51</v>
      </c>
      <c r="F359" s="33">
        <v>17.2272861923697</v>
      </c>
      <c r="G359" s="33">
        <v>44718.015921406797</v>
      </c>
      <c r="H359" s="33">
        <v>0.46351203670920399</v>
      </c>
      <c r="I359" s="33">
        <v>34.5501</v>
      </c>
      <c r="J359" s="32">
        <v>2.8816600000000001</v>
      </c>
      <c r="K359" s="33">
        <v>8.1189999999999998</v>
      </c>
      <c r="L359" s="33">
        <v>114.19199999999999</v>
      </c>
      <c r="M359" s="33">
        <v>5.2290000000000001</v>
      </c>
      <c r="N359" s="32"/>
      <c r="O359" s="32"/>
      <c r="P359" s="32"/>
      <c r="Q359" s="32"/>
      <c r="R359" s="32"/>
      <c r="S359" s="32"/>
      <c r="T359" s="32"/>
    </row>
    <row r="360" spans="1:20" x14ac:dyDescent="0.3">
      <c r="A360" s="32" t="s">
        <v>82</v>
      </c>
      <c r="B360" s="32">
        <v>2013</v>
      </c>
      <c r="C360" s="32">
        <v>57.158999999999999</v>
      </c>
      <c r="D360" s="33">
        <v>84.17</v>
      </c>
      <c r="E360" s="32">
        <v>4.33</v>
      </c>
      <c r="F360" s="33">
        <v>17.297990604368199</v>
      </c>
      <c r="G360" s="33">
        <v>47206.835351424103</v>
      </c>
      <c r="H360" s="33">
        <v>0.39699558377914401</v>
      </c>
      <c r="I360" s="33">
        <v>35.342300000000002</v>
      </c>
      <c r="J360" s="32">
        <v>2.8359899999999998</v>
      </c>
      <c r="K360" s="33">
        <v>7.8250000000000002</v>
      </c>
      <c r="L360" s="33">
        <v>123.435</v>
      </c>
      <c r="M360" s="33">
        <v>5.085</v>
      </c>
      <c r="N360" s="32"/>
      <c r="O360" s="32"/>
      <c r="P360" s="32"/>
      <c r="Q360" s="32"/>
      <c r="R360" s="32"/>
      <c r="S360" s="32"/>
      <c r="T360" s="32"/>
    </row>
    <row r="361" spans="1:20" x14ac:dyDescent="0.3">
      <c r="A361" s="32" t="s">
        <v>82</v>
      </c>
      <c r="B361" s="32">
        <v>2014</v>
      </c>
      <c r="C361" s="32">
        <v>57.426000000000002</v>
      </c>
      <c r="D361" s="33">
        <v>86.193700000000007</v>
      </c>
      <c r="E361" s="32">
        <v>4.5199999999999996</v>
      </c>
      <c r="F361" s="33">
        <v>17.209714973150799</v>
      </c>
      <c r="G361" s="33">
        <v>48959.5991203132</v>
      </c>
      <c r="H361" s="33">
        <v>2.1801860216801701</v>
      </c>
      <c r="I361" s="33">
        <v>36.340899999999998</v>
      </c>
      <c r="J361" s="32">
        <v>2.87784</v>
      </c>
      <c r="K361" s="33">
        <v>7.6120000000000001</v>
      </c>
      <c r="L361" s="33">
        <v>122.309</v>
      </c>
      <c r="M361" s="33">
        <v>4.6319999999999997</v>
      </c>
      <c r="N361" s="32"/>
      <c r="O361" s="32"/>
      <c r="P361" s="32"/>
      <c r="Q361" s="32"/>
      <c r="R361" s="32"/>
      <c r="S361" s="32"/>
      <c r="T361" s="32"/>
    </row>
    <row r="362" spans="1:20" x14ac:dyDescent="0.3">
      <c r="A362" s="32" t="s">
        <v>82</v>
      </c>
      <c r="B362" s="32">
        <v>2015</v>
      </c>
      <c r="C362" s="32">
        <v>57.438000000000002</v>
      </c>
      <c r="D362" s="33">
        <v>87.589799999999997</v>
      </c>
      <c r="E362" s="32">
        <v>4.6500000000000004</v>
      </c>
      <c r="F362" s="33">
        <v>17.824375276644702</v>
      </c>
      <c r="G362" s="33">
        <v>41929.754911072101</v>
      </c>
      <c r="H362" s="33">
        <v>1.6630060233477399</v>
      </c>
      <c r="I362" s="33">
        <v>37.412700000000001</v>
      </c>
      <c r="J362" s="32">
        <v>2.9337900000000001</v>
      </c>
      <c r="K362" s="33">
        <v>7.3280000000000003</v>
      </c>
      <c r="L362" s="33">
        <v>117.401</v>
      </c>
      <c r="M362" s="33">
        <v>4.2380000000000004</v>
      </c>
      <c r="N362" s="32"/>
      <c r="O362" s="32"/>
      <c r="P362" s="32"/>
      <c r="Q362" s="32"/>
      <c r="R362" s="32"/>
      <c r="S362" s="32"/>
      <c r="T362" s="32"/>
    </row>
    <row r="363" spans="1:20" x14ac:dyDescent="0.3">
      <c r="A363" s="32" t="s">
        <v>82</v>
      </c>
      <c r="B363" s="32">
        <v>2016</v>
      </c>
      <c r="C363" s="32">
        <v>58.523000000000003</v>
      </c>
      <c r="D363" s="33">
        <v>84.165199999999999</v>
      </c>
      <c r="E363" s="32">
        <v>4.71</v>
      </c>
      <c r="F363" s="33">
        <v>18.082701421475999</v>
      </c>
      <c r="G363" s="33">
        <v>42948.9381932693</v>
      </c>
      <c r="H363" s="33">
        <v>2.2222221625937002</v>
      </c>
      <c r="I363" s="33">
        <v>38.499099999999999</v>
      </c>
      <c r="J363" s="32">
        <v>2.9403899999999998</v>
      </c>
      <c r="K363" s="33">
        <v>7.0789999999999997</v>
      </c>
      <c r="L363" s="33">
        <v>125.024</v>
      </c>
      <c r="M363" s="33">
        <v>3.6890000000000001</v>
      </c>
      <c r="N363" s="32"/>
      <c r="O363" s="32"/>
      <c r="P363" s="32"/>
      <c r="Q363" s="32"/>
      <c r="R363" s="32"/>
      <c r="S363" s="32"/>
      <c r="T363" s="32"/>
    </row>
    <row r="364" spans="1:20" x14ac:dyDescent="0.3">
      <c r="A364" s="32" t="s">
        <v>82</v>
      </c>
      <c r="B364" s="32">
        <v>2017</v>
      </c>
      <c r="C364" s="32">
        <v>58.926000000000002</v>
      </c>
      <c r="D364" s="33">
        <v>84.394199999999998</v>
      </c>
      <c r="E364" s="32">
        <v>4.96</v>
      </c>
      <c r="F364" s="33">
        <v>15.8505787944519</v>
      </c>
      <c r="G364" s="33">
        <v>45553.934149533801</v>
      </c>
      <c r="H364" s="33">
        <v>2.7979067205509902</v>
      </c>
      <c r="I364" s="33">
        <v>39.988799999999998</v>
      </c>
      <c r="J364" s="32">
        <v>3.0470999999999999</v>
      </c>
      <c r="K364" s="33">
        <v>6.77</v>
      </c>
      <c r="L364" s="33">
        <v>132.00299999999999</v>
      </c>
      <c r="M364" s="33">
        <v>3.294</v>
      </c>
      <c r="N364" s="32"/>
      <c r="O364" s="32"/>
      <c r="P364" s="32"/>
      <c r="Q364" s="32"/>
      <c r="R364" s="32"/>
      <c r="S364" s="32"/>
      <c r="T364" s="32"/>
    </row>
    <row r="365" spans="1:20" x14ac:dyDescent="0.3">
      <c r="A365" s="32" t="s">
        <v>82</v>
      </c>
      <c r="B365" s="32">
        <v>2018</v>
      </c>
      <c r="C365" s="32">
        <v>59.19</v>
      </c>
      <c r="D365" s="33">
        <v>87.037099999999995</v>
      </c>
      <c r="E365" s="32">
        <v>4.96</v>
      </c>
      <c r="F365" s="33">
        <v>15.747433558401299</v>
      </c>
      <c r="G365" s="33">
        <v>48916.168661215401</v>
      </c>
      <c r="H365" s="33">
        <v>1.13569604599848</v>
      </c>
      <c r="I365" s="33">
        <v>40.9651</v>
      </c>
      <c r="J365" s="32">
        <v>3.1101100000000002</v>
      </c>
      <c r="K365" s="33">
        <v>6.22</v>
      </c>
      <c r="L365" s="33">
        <v>128.946</v>
      </c>
      <c r="M365" s="33">
        <v>2.8809999999999998</v>
      </c>
      <c r="N365" s="32"/>
      <c r="O365" s="32"/>
      <c r="P365" s="32"/>
      <c r="Q365" s="32"/>
      <c r="R365" s="32"/>
      <c r="S365" s="32"/>
      <c r="T365" s="32"/>
    </row>
    <row r="366" spans="1:20" x14ac:dyDescent="0.3">
      <c r="A366" s="32" t="s">
        <v>82</v>
      </c>
      <c r="B366" s="32">
        <v>2019</v>
      </c>
      <c r="C366" s="32">
        <v>60.006</v>
      </c>
      <c r="D366" s="33">
        <v>88.134500000000003</v>
      </c>
      <c r="E366" s="32">
        <v>4.9000000000000004</v>
      </c>
      <c r="F366" s="33">
        <v>16.386931057177001</v>
      </c>
      <c r="G366" s="33">
        <v>47656.199739746997</v>
      </c>
      <c r="H366" s="33">
        <v>0.97773469703878302</v>
      </c>
      <c r="I366" s="33">
        <v>42.115600000000001</v>
      </c>
      <c r="J366" s="32">
        <v>3.1670099999999999</v>
      </c>
      <c r="K366" s="33">
        <v>5.859</v>
      </c>
      <c r="L366" s="33">
        <v>128.292</v>
      </c>
      <c r="M366" s="33">
        <v>2.71</v>
      </c>
      <c r="N366" s="32"/>
      <c r="O366" s="32"/>
      <c r="P366" s="32"/>
      <c r="Q366" s="32"/>
      <c r="R366" s="32"/>
      <c r="S366" s="32"/>
      <c r="T366" s="32"/>
    </row>
    <row r="367" spans="1:20" x14ac:dyDescent="0.3">
      <c r="A367" s="32" t="s">
        <v>82</v>
      </c>
      <c r="B367" s="32">
        <v>2020</v>
      </c>
      <c r="C367" s="32">
        <v>58.207000000000001</v>
      </c>
      <c r="D367" s="33">
        <v>89.812899999999999</v>
      </c>
      <c r="E367" s="32">
        <v>5.17</v>
      </c>
      <c r="F367" s="33">
        <v>15.503195986937399</v>
      </c>
      <c r="G367" s="33">
        <v>47394.873450446903</v>
      </c>
      <c r="H367" s="33">
        <v>-4.1319144323994603</v>
      </c>
      <c r="I367" s="33">
        <v>43.304900000000004</v>
      </c>
      <c r="J367" s="32">
        <v>3.1313599999999999</v>
      </c>
      <c r="K367" s="33">
        <v>7.8620000000000001</v>
      </c>
      <c r="L367" s="33">
        <v>128.42500000000001</v>
      </c>
      <c r="M367" s="33">
        <v>3.238</v>
      </c>
      <c r="N367" s="32"/>
      <c r="O367" s="32"/>
      <c r="P367" s="32"/>
      <c r="Q367" s="32"/>
      <c r="R367" s="32"/>
      <c r="S367" s="32"/>
      <c r="T367" s="32"/>
    </row>
    <row r="368" spans="1:20" x14ac:dyDescent="0.3">
      <c r="A368" s="32" t="s">
        <v>82</v>
      </c>
      <c r="B368" s="32">
        <v>2021</v>
      </c>
      <c r="C368" s="32">
        <v>58.411000000000001</v>
      </c>
      <c r="D368" s="33">
        <v>91.430599999999998</v>
      </c>
      <c r="E368" s="32">
        <v>5.12</v>
      </c>
      <c r="F368" s="33">
        <v>15.385104822776499</v>
      </c>
      <c r="G368" s="33">
        <v>52349.245999442202</v>
      </c>
      <c r="H368" s="33">
        <v>3.9099999420410798</v>
      </c>
      <c r="I368" s="33">
        <v>44.064300000000003</v>
      </c>
      <c r="J368" s="32">
        <v>3.1288200000000002</v>
      </c>
      <c r="K368" s="33">
        <v>6.665</v>
      </c>
      <c r="L368" s="33">
        <v>127.125</v>
      </c>
      <c r="M368" s="33">
        <v>3.141</v>
      </c>
      <c r="N368" s="32"/>
      <c r="O368" s="32"/>
      <c r="P368" s="32"/>
      <c r="Q368" s="32"/>
      <c r="R368" s="32"/>
      <c r="S368" s="32"/>
      <c r="T368" s="32"/>
    </row>
    <row r="369" spans="1:22" x14ac:dyDescent="0.3">
      <c r="A369" s="32" t="s">
        <v>82</v>
      </c>
      <c r="B369" s="32">
        <v>2022</v>
      </c>
      <c r="C369" s="32">
        <v>59.085999999999999</v>
      </c>
      <c r="D369" s="33">
        <v>91.629800000000003</v>
      </c>
      <c r="E369" s="32">
        <v>4.7699999999999996</v>
      </c>
      <c r="F369" s="33">
        <v>17.372011771576101</v>
      </c>
      <c r="G369" s="33">
        <v>50506.517963854298</v>
      </c>
      <c r="H369" s="33">
        <v>1.8092581243060899</v>
      </c>
      <c r="I369" s="33">
        <v>44.618600000000001</v>
      </c>
      <c r="J369" s="32">
        <v>3.1323599999999998</v>
      </c>
      <c r="K369" s="33">
        <v>6.04</v>
      </c>
      <c r="L369" s="33">
        <v>124.158</v>
      </c>
      <c r="M369" s="33">
        <v>2.7109999999999999</v>
      </c>
      <c r="N369" s="32"/>
      <c r="O369" s="32"/>
      <c r="P369" s="32"/>
      <c r="Q369" s="32"/>
      <c r="R369" s="32"/>
      <c r="S369" s="32"/>
      <c r="T369" s="32"/>
    </row>
    <row r="370" spans="1:22" x14ac:dyDescent="0.3">
      <c r="A370" s="10" t="s">
        <v>81</v>
      </c>
      <c r="B370" s="10">
        <v>2007</v>
      </c>
      <c r="C370" s="10">
        <f t="array" ref="C370:C385">TRANSPOSE(EMPLOYrate!D10:S10)</f>
        <v>53.755000000000003</v>
      </c>
      <c r="D370" s="11" cm="1">
        <f t="array" ref="D370:D385">TRANSPOSE(ictuse!D8:S8)</f>
        <v>55.11</v>
      </c>
      <c r="E370" s="10">
        <f t="array" ref="E370:E385">TRANSPOSE(ictgoods!D6:S6)</f>
        <v>2.64</v>
      </c>
      <c r="F370" s="11" cm="1">
        <f t="array" ref="F370:F385">TRANSPOSE(hightechmanu!C9:R9)</f>
        <v>5.6129710487067301</v>
      </c>
      <c r="G370" s="11" cm="1">
        <f t="array" ref="G370:G385">TRANSPOSE(gdppercapita!D28:S28)</f>
        <v>32652.015594701901</v>
      </c>
      <c r="H370" s="11" cm="1">
        <f t="array" ref="H370:H385">TRANSPOSE(gdpannual!D9:S9)</f>
        <v>3.5335001316597201</v>
      </c>
      <c r="I370" s="11" cm="1">
        <f t="array" ref="I370:I385">TRANSPOSE(fixedbroadband!D20:S20)</f>
        <v>17.698599999999999</v>
      </c>
      <c r="J370" s="10" cm="1">
        <f t="array" ref="J370:J385">TRANSPOSE(rdexpediture!D24:S24)</f>
        <v>1.2405299999999999</v>
      </c>
      <c r="K370" s="11" cm="1">
        <f t="array" ref="K370:K385">TRANSPOSE(YOUTH_EMPLOY!D9:S9)</f>
        <v>18.087</v>
      </c>
      <c r="L370" s="11">
        <f t="array" ref="L370:L385">TRANSPOSE(mobile_celular!D24:S24)</f>
        <v>106.384</v>
      </c>
      <c r="M370" s="11">
        <f t="array" ref="M370:M385">TRANSPOSE(unemployEAD!C9:R9)</f>
        <v>8.14</v>
      </c>
      <c r="N370" s="10"/>
      <c r="O370" s="10"/>
      <c r="P370" s="10"/>
      <c r="Q370" s="10"/>
      <c r="R370" s="10"/>
      <c r="S370" s="10"/>
      <c r="T370" s="10"/>
      <c r="U370" s="10"/>
      <c r="V370" s="10"/>
    </row>
    <row r="371" spans="1:22" x14ac:dyDescent="0.3">
      <c r="A371" s="10" t="s">
        <v>81</v>
      </c>
      <c r="B371" s="10">
        <v>2008</v>
      </c>
      <c r="C371" s="10">
        <v>52.69</v>
      </c>
      <c r="D371" s="11">
        <v>59.6</v>
      </c>
      <c r="E371" s="10">
        <v>2.44</v>
      </c>
      <c r="F371" s="11">
        <v>5.5848808984602796</v>
      </c>
      <c r="G371" s="11">
        <v>35603.248328071</v>
      </c>
      <c r="H371" s="11">
        <v>0.76716574829069295</v>
      </c>
      <c r="I371" s="11">
        <v>19.759799999999998</v>
      </c>
      <c r="J371" s="10">
        <v>1.325</v>
      </c>
      <c r="K371" s="11">
        <v>24.443000000000001</v>
      </c>
      <c r="L371" s="11">
        <v>107.328</v>
      </c>
      <c r="M371" s="11">
        <v>10.449</v>
      </c>
      <c r="N371" s="10"/>
      <c r="O371" s="10"/>
      <c r="P371" s="10"/>
      <c r="Q371" s="10"/>
      <c r="R371" s="10"/>
      <c r="S371" s="10"/>
      <c r="T371" s="10"/>
      <c r="U371" s="10"/>
      <c r="V371" s="10"/>
    </row>
    <row r="372" spans="1:22" x14ac:dyDescent="0.3">
      <c r="A372" s="10" t="s">
        <v>81</v>
      </c>
      <c r="B372" s="10">
        <v>2009</v>
      </c>
      <c r="C372" s="10">
        <v>48.878999999999998</v>
      </c>
      <c r="D372" s="11">
        <v>62.4</v>
      </c>
      <c r="E372" s="10">
        <v>2.19</v>
      </c>
      <c r="F372" s="11">
        <v>6.4732405608231103</v>
      </c>
      <c r="G372" s="11">
        <v>32279.820847615101</v>
      </c>
      <c r="H372" s="11">
        <v>-3.7681330694005299</v>
      </c>
      <c r="I372" s="11">
        <v>21.015499999999999</v>
      </c>
      <c r="J372" s="10">
        <v>1.36364</v>
      </c>
      <c r="K372" s="11">
        <v>37.71</v>
      </c>
      <c r="L372" s="11">
        <v>109.47199999999999</v>
      </c>
      <c r="M372" s="11">
        <v>16.832000000000001</v>
      </c>
      <c r="N372" s="10"/>
      <c r="O372" s="10"/>
      <c r="P372" s="10"/>
      <c r="Q372" s="10"/>
      <c r="R372" s="10"/>
      <c r="S372" s="10"/>
      <c r="T372" s="10"/>
      <c r="U372" s="10"/>
      <c r="V372" s="10"/>
    </row>
    <row r="373" spans="1:22" x14ac:dyDescent="0.3">
      <c r="A373" s="10" t="s">
        <v>81</v>
      </c>
      <c r="B373" s="10">
        <v>2010</v>
      </c>
      <c r="C373" s="10">
        <v>47.784999999999997</v>
      </c>
      <c r="D373" s="11">
        <v>65.8</v>
      </c>
      <c r="E373" s="10">
        <v>2.2000000000000002</v>
      </c>
      <c r="F373" s="11">
        <v>6.5581983123657004</v>
      </c>
      <c r="G373" s="11">
        <v>30658.742228291099</v>
      </c>
      <c r="H373" s="11">
        <v>9.4122311636951395E-2</v>
      </c>
      <c r="I373" s="11">
        <v>22.741800000000001</v>
      </c>
      <c r="J373" s="10">
        <v>1.3599600000000001</v>
      </c>
      <c r="K373" s="11">
        <v>41.453000000000003</v>
      </c>
      <c r="L373" s="11">
        <v>109.712</v>
      </c>
      <c r="M373" s="11">
        <v>18.972999999999999</v>
      </c>
      <c r="N373" s="10"/>
      <c r="O373" s="10"/>
      <c r="P373" s="10"/>
      <c r="Q373" s="10"/>
      <c r="R373" s="10"/>
      <c r="S373" s="10"/>
      <c r="T373" s="10"/>
      <c r="U373" s="10"/>
      <c r="V373" s="10"/>
    </row>
    <row r="374" spans="1:22" x14ac:dyDescent="0.3">
      <c r="A374" s="10" t="s">
        <v>81</v>
      </c>
      <c r="B374" s="10">
        <v>2011</v>
      </c>
      <c r="C374" s="10">
        <v>46.91</v>
      </c>
      <c r="D374" s="11">
        <v>67.09</v>
      </c>
      <c r="E374" s="10">
        <v>1.61</v>
      </c>
      <c r="F374" s="11">
        <v>6.5862639924790596</v>
      </c>
      <c r="G374" s="11">
        <v>31824.6219134776</v>
      </c>
      <c r="H374" s="11">
        <v>-0.63992063652034403</v>
      </c>
      <c r="I374" s="11">
        <v>23.7623</v>
      </c>
      <c r="J374" s="10">
        <v>1.33341</v>
      </c>
      <c r="K374" s="11">
        <v>46.158000000000001</v>
      </c>
      <c r="L374" s="11">
        <v>111.899</v>
      </c>
      <c r="M374" s="11">
        <v>21.166</v>
      </c>
      <c r="N374" s="10"/>
      <c r="O374" s="10"/>
      <c r="P374" s="10"/>
      <c r="Q374" s="10"/>
      <c r="R374" s="10"/>
      <c r="S374" s="10"/>
      <c r="T374" s="10"/>
      <c r="U374" s="10"/>
      <c r="V374" s="10"/>
    </row>
    <row r="375" spans="1:22" x14ac:dyDescent="0.3">
      <c r="A375" s="10" t="s">
        <v>81</v>
      </c>
      <c r="B375" s="10">
        <v>2012</v>
      </c>
      <c r="C375" s="10">
        <v>44.924999999999997</v>
      </c>
      <c r="D375" s="11">
        <v>69.81</v>
      </c>
      <c r="E375" s="10">
        <v>1.27</v>
      </c>
      <c r="F375" s="11">
        <v>7.2508066342019797</v>
      </c>
      <c r="G375" s="11">
        <v>28456.443815147599</v>
      </c>
      <c r="H375" s="11">
        <v>-2.8651136863774802</v>
      </c>
      <c r="I375" s="11">
        <v>24.5107</v>
      </c>
      <c r="J375" s="10">
        <v>1.2987599999999999</v>
      </c>
      <c r="K375" s="11">
        <v>52.829000000000001</v>
      </c>
      <c r="L375" s="11">
        <v>107.756</v>
      </c>
      <c r="M375" s="11">
        <v>24.103999999999999</v>
      </c>
      <c r="N375" s="10"/>
      <c r="O375" s="10"/>
      <c r="P375" s="10"/>
      <c r="Q375" s="10"/>
      <c r="R375" s="10"/>
      <c r="S375" s="10"/>
      <c r="T375" s="10"/>
      <c r="U375" s="10"/>
      <c r="V375" s="10"/>
    </row>
    <row r="376" spans="1:22" x14ac:dyDescent="0.3">
      <c r="A376" s="10" t="s">
        <v>81</v>
      </c>
      <c r="B376" s="10">
        <v>2013</v>
      </c>
      <c r="C376" s="10">
        <v>43.883000000000003</v>
      </c>
      <c r="D376" s="11">
        <v>71.635000000000005</v>
      </c>
      <c r="E376" s="10">
        <v>1.07</v>
      </c>
      <c r="F376" s="11">
        <v>6.9700529595638701</v>
      </c>
      <c r="G376" s="11">
        <v>29228.846559842001</v>
      </c>
      <c r="H376" s="11">
        <v>-1.4273222475762499</v>
      </c>
      <c r="I376" s="11">
        <v>26.145900000000001</v>
      </c>
      <c r="J376" s="10">
        <v>1.2748200000000001</v>
      </c>
      <c r="K376" s="11">
        <v>55.444000000000003</v>
      </c>
      <c r="L376" s="11">
        <v>107.039</v>
      </c>
      <c r="M376" s="11">
        <v>25.852</v>
      </c>
      <c r="N376" s="10"/>
      <c r="O376" s="10"/>
      <c r="P376" s="10"/>
      <c r="Q376" s="10"/>
      <c r="R376" s="10"/>
      <c r="S376" s="10"/>
      <c r="T376" s="10"/>
      <c r="U376" s="10"/>
      <c r="V376" s="10"/>
    </row>
    <row r="377" spans="1:22" x14ac:dyDescent="0.3">
      <c r="A377" s="10" t="s">
        <v>81</v>
      </c>
      <c r="B377" s="10">
        <v>2014</v>
      </c>
      <c r="C377" s="10">
        <v>44.55</v>
      </c>
      <c r="D377" s="11">
        <v>76.186700000000002</v>
      </c>
      <c r="E377" s="10">
        <v>1.1399999999999999</v>
      </c>
      <c r="F377" s="11">
        <v>6.9121536146472202</v>
      </c>
      <c r="G377" s="11">
        <v>29707.765509467001</v>
      </c>
      <c r="H377" s="11">
        <v>1.52048593647231</v>
      </c>
      <c r="I377" s="11">
        <v>27.835899999999999</v>
      </c>
      <c r="J377" s="10">
        <v>1.24159</v>
      </c>
      <c r="K377" s="11">
        <v>53.168999999999997</v>
      </c>
      <c r="L377" s="11">
        <v>108.746</v>
      </c>
      <c r="M377" s="11">
        <v>24.158000000000001</v>
      </c>
      <c r="N377" s="10"/>
      <c r="O377" s="10"/>
      <c r="P377" s="10"/>
      <c r="Q377" s="10"/>
      <c r="R377" s="10"/>
      <c r="S377" s="10"/>
      <c r="T377" s="10"/>
      <c r="U377" s="10"/>
      <c r="V377" s="10"/>
    </row>
    <row r="378" spans="1:22" x14ac:dyDescent="0.3">
      <c r="A378" s="10" t="s">
        <v>81</v>
      </c>
      <c r="B378" s="10">
        <v>2015</v>
      </c>
      <c r="C378" s="10">
        <v>45.853000000000002</v>
      </c>
      <c r="D378" s="11">
        <v>78.689599999999999</v>
      </c>
      <c r="E378" s="10">
        <v>1.25</v>
      </c>
      <c r="F378" s="11">
        <v>6.8883350648423898</v>
      </c>
      <c r="G378" s="11">
        <v>25982.441619777499</v>
      </c>
      <c r="H378" s="11">
        <v>4.0608667247386503</v>
      </c>
      <c r="I378" s="11">
        <v>29.009899999999998</v>
      </c>
      <c r="J378" s="10">
        <v>1.2217899999999999</v>
      </c>
      <c r="K378" s="11">
        <v>48.353000000000002</v>
      </c>
      <c r="L378" s="11">
        <v>109.39100000000001</v>
      </c>
      <c r="M378" s="11">
        <v>21.576000000000001</v>
      </c>
      <c r="N378" s="10"/>
      <c r="O378" s="10"/>
      <c r="P378" s="10"/>
      <c r="Q378" s="10"/>
      <c r="R378" s="10"/>
      <c r="S378" s="10"/>
      <c r="T378" s="10"/>
      <c r="U378" s="10"/>
      <c r="V378" s="10"/>
    </row>
    <row r="379" spans="1:22" x14ac:dyDescent="0.3">
      <c r="A379" s="10" t="s">
        <v>81</v>
      </c>
      <c r="B379" s="10">
        <v>2016</v>
      </c>
      <c r="C379" s="10">
        <v>47.031999999999996</v>
      </c>
      <c r="D379" s="11">
        <v>80.561300000000003</v>
      </c>
      <c r="E379" s="10">
        <v>1.37</v>
      </c>
      <c r="F379" s="11">
        <v>7.8024814109486798</v>
      </c>
      <c r="G379" s="11">
        <v>26755.606114939801</v>
      </c>
      <c r="H379" s="11">
        <v>2.9151559859578602</v>
      </c>
      <c r="I379" s="11">
        <v>30.198599999999999</v>
      </c>
      <c r="J379" s="10">
        <v>1.1898599999999999</v>
      </c>
      <c r="K379" s="11">
        <v>44.445</v>
      </c>
      <c r="L379" s="11">
        <v>110.247</v>
      </c>
      <c r="M379" s="11">
        <v>19.164000000000001</v>
      </c>
      <c r="N379" s="10"/>
      <c r="O379" s="10"/>
      <c r="P379" s="10"/>
      <c r="Q379" s="10"/>
      <c r="R379" s="10"/>
      <c r="S379" s="10"/>
      <c r="T379" s="10"/>
      <c r="U379" s="10"/>
      <c r="V379" s="10"/>
    </row>
    <row r="380" spans="1:22" x14ac:dyDescent="0.3">
      <c r="A380" s="10" t="s">
        <v>81</v>
      </c>
      <c r="B380" s="10">
        <v>2017</v>
      </c>
      <c r="C380" s="10">
        <v>48.106999999999999</v>
      </c>
      <c r="D380" s="11">
        <v>84.602199999999996</v>
      </c>
      <c r="E380" s="10">
        <v>1.52</v>
      </c>
      <c r="F380" s="11">
        <v>6.9994901349431604</v>
      </c>
      <c r="G380" s="11">
        <v>28381.342559690602</v>
      </c>
      <c r="H380" s="11">
        <v>2.8960420786500598</v>
      </c>
      <c r="I380" s="11">
        <v>31.296500000000002</v>
      </c>
      <c r="J380" s="10">
        <v>1.20977</v>
      </c>
      <c r="K380" s="11">
        <v>38.594000000000001</v>
      </c>
      <c r="L380" s="11">
        <v>112.03</v>
      </c>
      <c r="M380" s="11">
        <v>16.974</v>
      </c>
      <c r="N380" s="10"/>
      <c r="O380" s="10"/>
      <c r="P380" s="10"/>
      <c r="Q380" s="10"/>
      <c r="R380" s="10"/>
      <c r="S380" s="10"/>
      <c r="T380" s="10"/>
      <c r="U380" s="10"/>
      <c r="V380" s="10"/>
    </row>
    <row r="381" spans="1:22" x14ac:dyDescent="0.3">
      <c r="A381" s="10" t="s">
        <v>81</v>
      </c>
      <c r="B381" s="10">
        <v>2018</v>
      </c>
      <c r="C381" s="10">
        <v>49.088000000000001</v>
      </c>
      <c r="D381" s="11">
        <v>86.107200000000006</v>
      </c>
      <c r="E381" s="10">
        <v>1.45</v>
      </c>
      <c r="F381" s="11">
        <v>6.7669354874541501</v>
      </c>
      <c r="G381" s="11">
        <v>30602.421288111302</v>
      </c>
      <c r="H381" s="11">
        <v>2.3954112447887699</v>
      </c>
      <c r="I381" s="11">
        <v>32.227699999999999</v>
      </c>
      <c r="J381" s="10">
        <v>1.2415099999999999</v>
      </c>
      <c r="K381" s="11">
        <v>34.362000000000002</v>
      </c>
      <c r="L381" s="11">
        <v>115.009</v>
      </c>
      <c r="M381" s="11">
        <v>15.477</v>
      </c>
      <c r="N381" s="10"/>
      <c r="O381" s="10"/>
      <c r="P381" s="10"/>
      <c r="Q381" s="10"/>
      <c r="R381" s="10"/>
      <c r="S381" s="10"/>
      <c r="T381" s="10"/>
      <c r="U381" s="10"/>
      <c r="V381" s="10"/>
    </row>
    <row r="382" spans="1:22" x14ac:dyDescent="0.3">
      <c r="A382" s="10" t="s">
        <v>81</v>
      </c>
      <c r="B382" s="10">
        <v>2019</v>
      </c>
      <c r="C382" s="10">
        <v>49.750999999999998</v>
      </c>
      <c r="D382" s="11">
        <v>90.718699999999998</v>
      </c>
      <c r="E382" s="10">
        <v>1.63</v>
      </c>
      <c r="F382" s="11">
        <v>6.8464009110301296</v>
      </c>
      <c r="G382" s="11">
        <v>29786.524568900699</v>
      </c>
      <c r="H382" s="11">
        <v>1.9611785084171001</v>
      </c>
      <c r="I382" s="11">
        <v>32.921999999999997</v>
      </c>
      <c r="J382" s="10">
        <v>1.2502500000000001</v>
      </c>
      <c r="K382" s="11">
        <v>32.555</v>
      </c>
      <c r="L382" s="11">
        <v>116.696</v>
      </c>
      <c r="M382" s="11">
        <v>14.489000000000001</v>
      </c>
      <c r="N382" s="10"/>
      <c r="O382" s="10"/>
      <c r="P382" s="10"/>
      <c r="Q382" s="10"/>
      <c r="R382" s="10"/>
      <c r="S382" s="10"/>
      <c r="T382" s="10"/>
      <c r="U382" s="10"/>
      <c r="V382" s="10"/>
    </row>
    <row r="383" spans="1:22" x14ac:dyDescent="0.3">
      <c r="A383" s="10" t="s">
        <v>81</v>
      </c>
      <c r="B383" s="10">
        <v>2020</v>
      </c>
      <c r="C383" s="10">
        <v>47.91</v>
      </c>
      <c r="D383" s="11">
        <v>93.205600000000004</v>
      </c>
      <c r="E383" s="10">
        <v>1.72</v>
      </c>
      <c r="F383" s="11">
        <v>7.7684213553112098</v>
      </c>
      <c r="G383" s="11">
        <v>27233.9426461607</v>
      </c>
      <c r="H383" s="11">
        <v>-10.940070635036999</v>
      </c>
      <c r="I383" s="11">
        <v>33.952800000000003</v>
      </c>
      <c r="J383" s="10">
        <v>1.4091</v>
      </c>
      <c r="K383" s="11">
        <v>38.311999999999998</v>
      </c>
      <c r="L383" s="11">
        <v>116.712</v>
      </c>
      <c r="M383" s="11">
        <v>16.504999999999999</v>
      </c>
      <c r="N383" s="10"/>
      <c r="O383" s="10"/>
      <c r="P383" s="10"/>
      <c r="Q383" s="10"/>
      <c r="R383" s="10"/>
      <c r="S383" s="10"/>
      <c r="T383" s="10"/>
      <c r="U383" s="10"/>
      <c r="V383" s="10"/>
    </row>
    <row r="384" spans="1:22" x14ac:dyDescent="0.3">
      <c r="A384" s="10" t="s">
        <v>81</v>
      </c>
      <c r="B384" s="10">
        <v>2021</v>
      </c>
      <c r="C384" s="10">
        <v>49.05</v>
      </c>
      <c r="D384" s="11">
        <v>93.897499999999994</v>
      </c>
      <c r="E384" s="10">
        <v>1.59</v>
      </c>
      <c r="F384" s="11">
        <v>9.3932038221435104</v>
      </c>
      <c r="G384" s="11">
        <v>30799.477593777399</v>
      </c>
      <c r="H384" s="11">
        <v>6.6831442047300103</v>
      </c>
      <c r="I384" s="11">
        <v>34.930199999999999</v>
      </c>
      <c r="J384" s="10">
        <v>1.4112199999999999</v>
      </c>
      <c r="K384" s="11">
        <v>34.844000000000001</v>
      </c>
      <c r="L384" s="11">
        <v>119</v>
      </c>
      <c r="M384" s="11">
        <v>16.062999999999999</v>
      </c>
      <c r="N384" s="10"/>
      <c r="O384" s="10"/>
      <c r="P384" s="10"/>
      <c r="Q384" s="10"/>
      <c r="R384" s="10"/>
      <c r="S384" s="10"/>
      <c r="T384" s="10"/>
      <c r="U384" s="10"/>
      <c r="V384" s="10"/>
    </row>
    <row r="385" spans="1:22" x14ac:dyDescent="0.3">
      <c r="A385" s="10" t="s">
        <v>81</v>
      </c>
      <c r="B385" s="10">
        <v>2022</v>
      </c>
      <c r="C385" s="10">
        <v>50.252000000000002</v>
      </c>
      <c r="D385" s="11">
        <v>94.485500000000002</v>
      </c>
      <c r="E385" s="10">
        <v>1.37</v>
      </c>
      <c r="F385" s="11">
        <v>12.5837187911388</v>
      </c>
      <c r="G385" s="11">
        <v>30319.498719661598</v>
      </c>
      <c r="H385" s="11">
        <v>6.3703171212960097</v>
      </c>
      <c r="I385" s="11">
        <v>35.784599999999998</v>
      </c>
      <c r="J385" s="10">
        <v>1.4353199999999999</v>
      </c>
      <c r="K385" s="11">
        <v>29.852</v>
      </c>
      <c r="L385" s="11">
        <v>123.4</v>
      </c>
      <c r="M385" s="11">
        <v>14.064</v>
      </c>
      <c r="N385" s="10"/>
      <c r="O385" s="10"/>
      <c r="P385" s="10"/>
      <c r="Q385" s="10"/>
      <c r="R385" s="10"/>
      <c r="S385" s="10"/>
      <c r="T385" s="10"/>
      <c r="U385" s="10"/>
      <c r="V385" s="10"/>
    </row>
    <row r="386" spans="1:22" x14ac:dyDescent="0.3">
      <c r="A386" s="34" t="s">
        <v>80</v>
      </c>
      <c r="B386" s="34">
        <v>2007</v>
      </c>
      <c r="C386" s="34">
        <f t="array" ref="C386:C401">TRANSPOSE(EMPLOYrate!D16:S16)</f>
        <v>61.856000000000002</v>
      </c>
      <c r="D386" s="35" cm="1">
        <f t="array" ref="D386:D401">TRANSPOSE(ictuse!D28:S28)</f>
        <v>85.82</v>
      </c>
      <c r="E386" s="34">
        <f t="array" ref="E386:E401">TRANSPOSE(ictgoods!D15:S15)</f>
        <v>14.18</v>
      </c>
      <c r="F386" s="35" cm="1">
        <f t="array" ref="F386:F401">TRANSPOSE(hightechmanu!C22:R22)</f>
        <v>29.063728998881501</v>
      </c>
      <c r="G386" s="35" cm="1">
        <f t="array" ref="G386:G401">TRANSPOSE(gdppercapita!D21:S21)</f>
        <v>52100.799628594701</v>
      </c>
      <c r="H386" s="35" cm="1">
        <f t="array" ref="H386:H401">TRANSPOSE(gdpannual!D19:S19)</f>
        <v>3.8853064480182198</v>
      </c>
      <c r="I386" s="35" cm="1">
        <f t="array" ref="I386:I401">TRANSPOSE(fixedbroadband!D8:S8)</f>
        <v>33.312399999999997</v>
      </c>
      <c r="J386" s="34" cm="1">
        <f t="array" ref="J386:J401">TRANSPOSE(rdexpediture!D7:S7)</f>
        <v>1.6702999999999999</v>
      </c>
      <c r="K386" s="35" cm="1">
        <f t="array" ref="K386:K401">TRANSPOSE(YOUTH_EMPLOY!D28:S28)</f>
        <v>9.1020000000000003</v>
      </c>
      <c r="L386" s="35">
        <f t="array" ref="L386:L401">TRANSPOSE(mobile_celular!D22:S22)</f>
        <v>116.657</v>
      </c>
      <c r="M386" s="35">
        <f t="array" ref="M386:M401">TRANSPOSE(unemployEAD!C22:R22)</f>
        <v>3.85</v>
      </c>
      <c r="N386" s="34"/>
      <c r="O386" s="34"/>
      <c r="P386" s="34"/>
      <c r="Q386" s="34"/>
      <c r="R386" s="34"/>
      <c r="S386" s="34"/>
      <c r="T386" s="34"/>
      <c r="U386" s="34"/>
      <c r="V386" s="34"/>
    </row>
    <row r="387" spans="1:22" x14ac:dyDescent="0.3">
      <c r="A387" s="34" t="s">
        <v>80</v>
      </c>
      <c r="B387" s="34">
        <v>2008</v>
      </c>
      <c r="C387" s="34">
        <v>62.86</v>
      </c>
      <c r="D387" s="35">
        <v>87.42</v>
      </c>
      <c r="E387" s="34">
        <v>11.57</v>
      </c>
      <c r="F387" s="35">
        <v>26.044513525010199</v>
      </c>
      <c r="G387" s="35">
        <v>58246.702690587401</v>
      </c>
      <c r="H387" s="35">
        <v>2.1168159364213701</v>
      </c>
      <c r="I387" s="35">
        <v>34.975700000000003</v>
      </c>
      <c r="J387" s="34">
        <v>1.62269</v>
      </c>
      <c r="K387" s="35">
        <v>8.32</v>
      </c>
      <c r="L387" s="35">
        <v>124.28</v>
      </c>
      <c r="M387" s="35">
        <v>3.2970000000000002</v>
      </c>
      <c r="N387" s="34"/>
      <c r="O387" s="34"/>
      <c r="P387" s="34"/>
      <c r="Q387" s="34"/>
      <c r="R387" s="34"/>
      <c r="S387" s="34"/>
      <c r="T387" s="34"/>
      <c r="U387" s="34"/>
      <c r="V387" s="34"/>
    </row>
    <row r="388" spans="1:22" x14ac:dyDescent="0.3">
      <c r="A388" s="34" t="s">
        <v>80</v>
      </c>
      <c r="B388" s="34">
        <v>2009</v>
      </c>
      <c r="C388" s="34">
        <v>62.537999999999997</v>
      </c>
      <c r="D388" s="35">
        <v>89.63</v>
      </c>
      <c r="E388" s="34">
        <v>12.36</v>
      </c>
      <c r="F388" s="35">
        <v>28.043938310672502</v>
      </c>
      <c r="G388" s="35">
        <v>53172.026158141802</v>
      </c>
      <c r="H388" s="35">
        <v>-3.6652904914509601</v>
      </c>
      <c r="I388" s="35">
        <v>36.735500000000002</v>
      </c>
      <c r="J388" s="34">
        <v>1.6657</v>
      </c>
      <c r="K388" s="35">
        <v>9.8759999999999994</v>
      </c>
      <c r="L388" s="35">
        <v>120.767</v>
      </c>
      <c r="M388" s="35">
        <v>3.9049999999999998</v>
      </c>
      <c r="N388" s="34"/>
      <c r="O388" s="34"/>
      <c r="P388" s="34"/>
      <c r="Q388" s="34"/>
      <c r="R388" s="34"/>
      <c r="S388" s="34"/>
      <c r="T388" s="34"/>
      <c r="U388" s="34"/>
      <c r="V388" s="34"/>
    </row>
    <row r="389" spans="1:22" x14ac:dyDescent="0.3">
      <c r="A389" s="34" t="s">
        <v>80</v>
      </c>
      <c r="B389" s="34">
        <v>2010</v>
      </c>
      <c r="C389" s="34">
        <v>61.584000000000003</v>
      </c>
      <c r="D389" s="35">
        <v>90.72</v>
      </c>
      <c r="E389" s="34">
        <v>12.46</v>
      </c>
      <c r="F389" s="35">
        <v>27.864996429834601</v>
      </c>
      <c r="G389" s="35">
        <v>51305.733853397302</v>
      </c>
      <c r="H389" s="35">
        <v>1.31932032302214</v>
      </c>
      <c r="I389" s="35">
        <v>37.737200000000001</v>
      </c>
      <c r="J389" s="34">
        <v>1.70404</v>
      </c>
      <c r="K389" s="35">
        <v>10.77</v>
      </c>
      <c r="L389" s="35">
        <v>114.357</v>
      </c>
      <c r="M389" s="35">
        <v>4.4749999999999996</v>
      </c>
      <c r="N389" s="34"/>
      <c r="O389" s="34"/>
      <c r="P389" s="34"/>
      <c r="Q389" s="34"/>
      <c r="R389" s="34"/>
      <c r="S389" s="34"/>
      <c r="T389" s="34"/>
      <c r="U389" s="34"/>
      <c r="V389" s="34"/>
    </row>
    <row r="390" spans="1:22" x14ac:dyDescent="0.3">
      <c r="A390" s="34" t="s">
        <v>80</v>
      </c>
      <c r="B390" s="34">
        <v>2011</v>
      </c>
      <c r="C390" s="34">
        <v>61.332000000000001</v>
      </c>
      <c r="D390" s="35">
        <v>91.42</v>
      </c>
      <c r="E390" s="34">
        <v>11.31</v>
      </c>
      <c r="F390" s="35">
        <v>25.239082101244499</v>
      </c>
      <c r="G390" s="35">
        <v>54701.772803061103</v>
      </c>
      <c r="H390" s="35">
        <v>1.77334516269422</v>
      </c>
      <c r="I390" s="35">
        <v>38.561399999999999</v>
      </c>
      <c r="J390" s="34">
        <v>1.88131</v>
      </c>
      <c r="K390" s="35">
        <v>9.7799999999999994</v>
      </c>
      <c r="L390" s="35">
        <v>117.67400000000001</v>
      </c>
      <c r="M390" s="35">
        <v>4.5590000000000002</v>
      </c>
      <c r="N390" s="34"/>
      <c r="O390" s="34"/>
      <c r="P390" s="34"/>
      <c r="Q390" s="34"/>
      <c r="R390" s="34"/>
      <c r="S390" s="34"/>
      <c r="T390" s="34"/>
      <c r="U390" s="34"/>
      <c r="V390" s="34"/>
    </row>
    <row r="391" spans="1:22" x14ac:dyDescent="0.3">
      <c r="A391" s="34" t="s">
        <v>80</v>
      </c>
      <c r="B391" s="34">
        <v>2012</v>
      </c>
      <c r="C391" s="34">
        <v>61.222999999999999</v>
      </c>
      <c r="D391" s="35">
        <v>92.86</v>
      </c>
      <c r="E391" s="34">
        <v>10.53</v>
      </c>
      <c r="F391" s="35">
        <v>25.4832942720764</v>
      </c>
      <c r="G391" s="35">
        <v>50473.944200268801</v>
      </c>
      <c r="H391" s="35">
        <v>-0.97787687774773202</v>
      </c>
      <c r="I391" s="35">
        <v>39.337400000000002</v>
      </c>
      <c r="J391" s="34">
        <v>1.9162699999999999</v>
      </c>
      <c r="K391" s="35">
        <v>11.457000000000001</v>
      </c>
      <c r="L391" s="35">
        <v>116.56399999999999</v>
      </c>
      <c r="M391" s="35">
        <v>5.5119999999999996</v>
      </c>
      <c r="N391" s="34"/>
      <c r="O391" s="34"/>
      <c r="P391" s="34"/>
      <c r="Q391" s="34"/>
      <c r="R391" s="34"/>
      <c r="S391" s="34"/>
      <c r="T391" s="34"/>
      <c r="U391" s="34"/>
      <c r="V391" s="34"/>
    </row>
    <row r="392" spans="1:22" x14ac:dyDescent="0.3">
      <c r="A392" s="34" t="s">
        <v>80</v>
      </c>
      <c r="B392" s="34">
        <v>2013</v>
      </c>
      <c r="C392" s="34">
        <v>60.259</v>
      </c>
      <c r="D392" s="35">
        <v>93.956400000000002</v>
      </c>
      <c r="E392" s="34">
        <v>10.27</v>
      </c>
      <c r="F392" s="35">
        <v>24.665905114757699</v>
      </c>
      <c r="G392" s="35">
        <v>52602.286052076503</v>
      </c>
      <c r="H392" s="35">
        <v>-3.02325600539603E-2</v>
      </c>
      <c r="I392" s="35">
        <v>40.030500000000004</v>
      </c>
      <c r="J392" s="34">
        <v>2.1560600000000001</v>
      </c>
      <c r="K392" s="35">
        <v>12.943</v>
      </c>
      <c r="L392" s="35">
        <v>114.73399999999999</v>
      </c>
      <c r="M392" s="35">
        <v>7.2569999999999997</v>
      </c>
      <c r="N392" s="34"/>
      <c r="O392" s="34"/>
      <c r="P392" s="34"/>
      <c r="Q392" s="34"/>
      <c r="R392" s="34"/>
      <c r="S392" s="34"/>
      <c r="T392" s="34"/>
      <c r="U392" s="34"/>
      <c r="V392" s="34"/>
    </row>
    <row r="393" spans="1:22" x14ac:dyDescent="0.3">
      <c r="A393" s="34" t="s">
        <v>80</v>
      </c>
      <c r="B393" s="34">
        <v>2014</v>
      </c>
      <c r="C393" s="34">
        <v>59.585999999999999</v>
      </c>
      <c r="D393" s="35">
        <v>91.666700000000006</v>
      </c>
      <c r="E393" s="34">
        <v>10.74</v>
      </c>
      <c r="F393" s="35">
        <v>24.555968763258999</v>
      </c>
      <c r="G393" s="35">
        <v>53457.223486432202</v>
      </c>
      <c r="H393" s="35">
        <v>1.6126100129401</v>
      </c>
      <c r="I393" s="35">
        <v>40.2288</v>
      </c>
      <c r="J393" s="34">
        <v>2.1732999999999998</v>
      </c>
      <c r="K393" s="35">
        <v>12.529</v>
      </c>
      <c r="L393" s="35">
        <v>114.867</v>
      </c>
      <c r="M393" s="35">
        <v>7.48</v>
      </c>
      <c r="N393" s="34"/>
      <c r="O393" s="34"/>
      <c r="P393" s="34"/>
      <c r="Q393" s="34"/>
      <c r="R393" s="34"/>
      <c r="S393" s="34"/>
      <c r="T393" s="34"/>
      <c r="U393" s="34"/>
      <c r="V393" s="34"/>
    </row>
    <row r="394" spans="1:22" x14ac:dyDescent="0.3">
      <c r="A394" s="34" t="s">
        <v>80</v>
      </c>
      <c r="B394" s="34">
        <v>2015</v>
      </c>
      <c r="C394" s="34">
        <v>59.960999999999999</v>
      </c>
      <c r="D394" s="35">
        <v>91.724100000000007</v>
      </c>
      <c r="E394" s="34">
        <v>10.65</v>
      </c>
      <c r="F394" s="35">
        <v>24.074012919385002</v>
      </c>
      <c r="G394" s="35">
        <v>45793.813543469703</v>
      </c>
      <c r="H394" s="35">
        <v>2.12060523860846</v>
      </c>
      <c r="I394" s="35">
        <v>41.088000000000001</v>
      </c>
      <c r="J394" s="34">
        <v>2.1460599999999999</v>
      </c>
      <c r="K394" s="35">
        <v>11.103</v>
      </c>
      <c r="L394" s="35">
        <v>121.63800000000001</v>
      </c>
      <c r="M394" s="35">
        <v>6.9880000000000004</v>
      </c>
      <c r="N394" s="34"/>
      <c r="O394" s="34"/>
      <c r="P394" s="34"/>
      <c r="Q394" s="34"/>
      <c r="R394" s="34"/>
      <c r="S394" s="34"/>
      <c r="T394" s="34"/>
      <c r="U394" s="34"/>
      <c r="V394" s="34"/>
    </row>
    <row r="395" spans="1:22" x14ac:dyDescent="0.3">
      <c r="A395" s="34" t="s">
        <v>80</v>
      </c>
      <c r="B395" s="34">
        <v>2016</v>
      </c>
      <c r="C395" s="34">
        <v>60.228000000000002</v>
      </c>
      <c r="D395" s="35">
        <v>90.411000000000001</v>
      </c>
      <c r="E395" s="34">
        <v>10.74</v>
      </c>
      <c r="F395" s="35">
        <v>24.008740486607699</v>
      </c>
      <c r="G395" s="35">
        <v>46808.5291492502</v>
      </c>
      <c r="H395" s="35">
        <v>2.4242857295548199</v>
      </c>
      <c r="I395" s="35">
        <v>41.981400000000001</v>
      </c>
      <c r="J395" s="34">
        <v>2.1508099999999999</v>
      </c>
      <c r="K395" s="35">
        <v>10.638999999999999</v>
      </c>
      <c r="L395" s="35">
        <v>121.42</v>
      </c>
      <c r="M395" s="35">
        <v>6.0389999999999997</v>
      </c>
      <c r="N395" s="34"/>
      <c r="O395" s="34"/>
      <c r="P395" s="34"/>
      <c r="Q395" s="34"/>
      <c r="R395" s="34"/>
      <c r="S395" s="34"/>
      <c r="T395" s="34"/>
      <c r="U395" s="34"/>
      <c r="V395" s="34"/>
    </row>
    <row r="396" spans="1:22" x14ac:dyDescent="0.3">
      <c r="A396" s="34" t="s">
        <v>80</v>
      </c>
      <c r="B396" s="34">
        <v>2017</v>
      </c>
      <c r="C396" s="34">
        <v>60.938000000000002</v>
      </c>
      <c r="D396" s="35">
        <v>93.197299999999998</v>
      </c>
      <c r="E396" s="34">
        <v>10.49</v>
      </c>
      <c r="F396" s="35">
        <v>22.921902524536701</v>
      </c>
      <c r="G396" s="35">
        <v>49513.681734638398</v>
      </c>
      <c r="H396" s="35">
        <v>2.7815461930993499</v>
      </c>
      <c r="I396" s="35">
        <v>42.0989</v>
      </c>
      <c r="J396" s="34">
        <v>2.1785700000000001</v>
      </c>
      <c r="K396" s="35">
        <v>8.7149999999999999</v>
      </c>
      <c r="L396" s="35">
        <v>118.577</v>
      </c>
      <c r="M396" s="35">
        <v>4.7549999999999999</v>
      </c>
      <c r="N396" s="34"/>
      <c r="O396" s="34"/>
      <c r="P396" s="34"/>
      <c r="Q396" s="34"/>
      <c r="R396" s="34"/>
      <c r="S396" s="34"/>
      <c r="T396" s="34"/>
      <c r="U396" s="34"/>
      <c r="V396" s="34"/>
    </row>
    <row r="397" spans="1:22" x14ac:dyDescent="0.3">
      <c r="A397" s="34" t="s">
        <v>80</v>
      </c>
      <c r="B397" s="34">
        <v>2018</v>
      </c>
      <c r="C397" s="34">
        <v>61.798000000000002</v>
      </c>
      <c r="D397" s="35">
        <v>91.891900000000007</v>
      </c>
      <c r="E397" s="34">
        <v>10.18</v>
      </c>
      <c r="F397" s="35">
        <v>22.513206116324501</v>
      </c>
      <c r="G397" s="35">
        <v>53955.0770024265</v>
      </c>
      <c r="H397" s="35">
        <v>2.2587403735731</v>
      </c>
      <c r="I397" s="35">
        <v>42.5152</v>
      </c>
      <c r="J397" s="34">
        <v>2.1387999999999998</v>
      </c>
      <c r="K397" s="35">
        <v>7.0439999999999996</v>
      </c>
      <c r="L397" s="35">
        <v>121.16200000000001</v>
      </c>
      <c r="M397" s="35">
        <v>3.64</v>
      </c>
      <c r="N397" s="34"/>
      <c r="O397" s="34"/>
      <c r="P397" s="34"/>
      <c r="Q397" s="34"/>
      <c r="R397" s="34"/>
      <c r="S397" s="34"/>
      <c r="T397" s="34"/>
      <c r="U397" s="34"/>
      <c r="V397" s="34"/>
    </row>
    <row r="398" spans="1:22" x14ac:dyDescent="0.3">
      <c r="A398" s="34" t="s">
        <v>80</v>
      </c>
      <c r="B398" s="34">
        <v>2019</v>
      </c>
      <c r="C398" s="34">
        <v>62.607999999999997</v>
      </c>
      <c r="D398" s="35">
        <v>93.288600000000002</v>
      </c>
      <c r="E398" s="34">
        <v>10.27</v>
      </c>
      <c r="F398" s="35">
        <v>23.048234692997202</v>
      </c>
      <c r="G398" s="35">
        <v>53554.900749147499</v>
      </c>
      <c r="H398" s="35">
        <v>2.30009157916757</v>
      </c>
      <c r="I398" s="35">
        <v>42.529299999999999</v>
      </c>
      <c r="J398" s="34">
        <v>2.1843499999999998</v>
      </c>
      <c r="K398" s="35">
        <v>6.6040000000000001</v>
      </c>
      <c r="L398" s="35">
        <v>124.08799999999999</v>
      </c>
      <c r="M398" s="35">
        <v>3.1859999999999999</v>
      </c>
      <c r="N398" s="34"/>
      <c r="O398" s="34"/>
      <c r="P398" s="34"/>
      <c r="Q398" s="34"/>
      <c r="R398" s="34"/>
      <c r="S398" s="34"/>
      <c r="T398" s="34"/>
      <c r="U398" s="34"/>
      <c r="V398" s="34"/>
    </row>
    <row r="399" spans="1:22" x14ac:dyDescent="0.3">
      <c r="A399" s="34" t="s">
        <v>80</v>
      </c>
      <c r="B399" s="34">
        <v>2020</v>
      </c>
      <c r="C399" s="34">
        <v>62.061999999999998</v>
      </c>
      <c r="D399" s="35">
        <v>91.333299999999994</v>
      </c>
      <c r="E399" s="34">
        <v>11.11</v>
      </c>
      <c r="F399" s="35">
        <v>23.163976085380298</v>
      </c>
      <c r="G399" s="35">
        <v>53467.9277413737</v>
      </c>
      <c r="H399" s="35">
        <v>-3.86795333823222</v>
      </c>
      <c r="I399" s="35">
        <v>42.666699999999999</v>
      </c>
      <c r="J399" s="34">
        <v>2.3218200000000002</v>
      </c>
      <c r="K399" s="35">
        <v>8.875</v>
      </c>
      <c r="L399" s="35">
        <v>121.423</v>
      </c>
      <c r="M399" s="35">
        <v>3.681</v>
      </c>
      <c r="N399" s="34"/>
      <c r="O399" s="34"/>
      <c r="P399" s="34"/>
      <c r="Q399" s="34"/>
      <c r="R399" s="34"/>
      <c r="S399" s="34"/>
      <c r="T399" s="34"/>
      <c r="U399" s="34"/>
      <c r="V399" s="34"/>
    </row>
    <row r="400" spans="1:22" x14ac:dyDescent="0.3">
      <c r="A400" s="34" t="s">
        <v>80</v>
      </c>
      <c r="B400" s="34">
        <v>2021</v>
      </c>
      <c r="C400" s="34">
        <v>64.168000000000006</v>
      </c>
      <c r="D400" s="35">
        <v>92.052999999999997</v>
      </c>
      <c r="E400" s="34">
        <v>9.94</v>
      </c>
      <c r="F400" s="35">
        <v>22.002321190827299</v>
      </c>
      <c r="G400" s="35">
        <v>60141.9880911492</v>
      </c>
      <c r="H400" s="35">
        <v>6.2768306708325898</v>
      </c>
      <c r="I400" s="35">
        <v>42.946100000000001</v>
      </c>
      <c r="J400" s="34">
        <v>2.26877</v>
      </c>
      <c r="K400" s="35">
        <v>9.3309999999999995</v>
      </c>
      <c r="L400" s="35">
        <v>123.44799999999999</v>
      </c>
      <c r="M400" s="35">
        <v>4.0090000000000003</v>
      </c>
      <c r="N400" s="34"/>
      <c r="O400" s="34"/>
      <c r="P400" s="34"/>
      <c r="Q400" s="34"/>
      <c r="R400" s="34"/>
      <c r="S400" s="34"/>
      <c r="T400" s="34"/>
      <c r="U400" s="34"/>
      <c r="V400" s="34"/>
    </row>
    <row r="401" spans="1:22" x14ac:dyDescent="0.3">
      <c r="A401" s="34" t="s">
        <v>80</v>
      </c>
      <c r="B401" s="34">
        <v>2022</v>
      </c>
      <c r="C401" s="34">
        <v>65.504999999999995</v>
      </c>
      <c r="D401" s="35">
        <v>92.5197</v>
      </c>
      <c r="E401" s="34">
        <v>7.49</v>
      </c>
      <c r="F401" s="35">
        <v>21.957838012434198</v>
      </c>
      <c r="G401" s="35">
        <v>59123.318556486898</v>
      </c>
      <c r="H401" s="35">
        <v>5.0072345515961096</v>
      </c>
      <c r="I401" s="35">
        <v>43.564300000000003</v>
      </c>
      <c r="J401" s="34">
        <v>2.2553299999999998</v>
      </c>
      <c r="K401" s="35">
        <v>7.6429999999999998</v>
      </c>
      <c r="L401" s="35">
        <v>115.821</v>
      </c>
      <c r="M401" s="35">
        <v>3.27</v>
      </c>
      <c r="N401" s="34"/>
      <c r="O401" s="34"/>
      <c r="P401" s="34"/>
      <c r="Q401" s="34"/>
      <c r="R401" s="34"/>
      <c r="S401" s="34"/>
      <c r="T401" s="34"/>
      <c r="U401" s="34"/>
      <c r="V401" s="34"/>
    </row>
    <row r="402" spans="1:22" x14ac:dyDescent="0.3">
      <c r="A402" s="32" t="s">
        <v>79</v>
      </c>
      <c r="B402" s="32">
        <v>2007</v>
      </c>
      <c r="C402" s="32">
        <f t="array" ref="C402:C417">TRANSPOSE(EMPLOYrate!D9:S9)</f>
        <v>46.597000000000001</v>
      </c>
      <c r="D402" s="33" cm="1">
        <f t="array" ref="D402:D417">TRANSPOSE(ictuse!D14:S14)</f>
        <v>53.3</v>
      </c>
      <c r="E402" s="32">
        <f t="array" ref="E402:E417">TRANSPOSE(ictgoods!D11:S11)</f>
        <v>22.52</v>
      </c>
      <c r="F402" s="33" cm="1">
        <f t="array" ref="F402:F417">TRANSPOSE(hightechmanu!C15:R15)</f>
        <v>26.0916621380543</v>
      </c>
      <c r="G402" s="33" cm="1">
        <f t="array" ref="G402:G417">TRANSPOSE(gdppercapita!D13:S13)</f>
        <v>13934.6054603749</v>
      </c>
      <c r="H402" s="33" cm="1">
        <f t="array" ref="H402:H417">TRANSPOSE(gdpannual!D6:S6)</f>
        <v>0.33235433787892499</v>
      </c>
      <c r="I402" s="33" cm="1">
        <f t="array" ref="I402:I417">TRANSPOSE(fixedbroadband!D14:S14)</f>
        <v>14.495699999999999</v>
      </c>
      <c r="J402" s="32" cm="1">
        <f t="array" ref="J402:J417">TRANSPOSE(rdexpediture!D13:S13)</f>
        <v>0.95445000000000002</v>
      </c>
      <c r="K402" s="33" cm="1">
        <f t="array" ref="K402:K417">TRANSPOSE(YOUTH_EMPLOY!D15:S15)</f>
        <v>18.158000000000001</v>
      </c>
      <c r="L402" s="33">
        <f t="array" ref="L402:L417">TRANSPOSE(mobile_celular!D9:S9)</f>
        <v>109.925</v>
      </c>
      <c r="M402" s="33">
        <f t="array" ref="M402:M417">TRANSPOSE(unemployEAD!C15:R15)</f>
        <v>6.6890000000000001</v>
      </c>
      <c r="N402" s="32"/>
      <c r="O402" s="32"/>
      <c r="P402" s="32"/>
      <c r="Q402" s="32"/>
      <c r="R402" s="32"/>
      <c r="S402" s="32"/>
      <c r="T402" s="32"/>
      <c r="U402" s="32"/>
      <c r="V402" s="32"/>
    </row>
    <row r="403" spans="1:22" x14ac:dyDescent="0.3">
      <c r="A403" s="32" t="s">
        <v>79</v>
      </c>
      <c r="B403" s="32">
        <v>2008</v>
      </c>
      <c r="C403" s="32">
        <v>46.006999999999998</v>
      </c>
      <c r="D403" s="33">
        <v>61</v>
      </c>
      <c r="E403" s="32">
        <v>22.66</v>
      </c>
      <c r="F403" s="33">
        <v>24.9681371276166</v>
      </c>
      <c r="G403" s="33">
        <v>15762.632251511201</v>
      </c>
      <c r="H403" s="33">
        <v>0.99343708547965504</v>
      </c>
      <c r="I403" s="33">
        <v>17.676300000000001</v>
      </c>
      <c r="J403" s="32">
        <v>0.97757000000000005</v>
      </c>
      <c r="K403" s="33">
        <v>19.617000000000001</v>
      </c>
      <c r="L403" s="33">
        <v>122.038</v>
      </c>
      <c r="M403" s="33">
        <v>7.1159999999999997</v>
      </c>
      <c r="N403" s="32"/>
      <c r="O403" s="32"/>
      <c r="P403" s="32"/>
      <c r="Q403" s="32"/>
      <c r="R403" s="32"/>
      <c r="S403" s="32"/>
      <c r="T403" s="32"/>
      <c r="U403" s="32"/>
      <c r="V403" s="32"/>
    </row>
    <row r="404" spans="1:22" x14ac:dyDescent="0.3">
      <c r="A404" s="32" t="s">
        <v>79</v>
      </c>
      <c r="B404" s="32">
        <v>2009</v>
      </c>
      <c r="C404" s="32">
        <v>44.854999999999997</v>
      </c>
      <c r="D404" s="33">
        <v>62</v>
      </c>
      <c r="E404" s="32">
        <v>26</v>
      </c>
      <c r="F404" s="33">
        <v>26.727919071358599</v>
      </c>
      <c r="G404" s="33">
        <v>13051.1831777184</v>
      </c>
      <c r="H404" s="33">
        <v>-6.7401660845501903</v>
      </c>
      <c r="I404" s="33">
        <v>19.764500000000002</v>
      </c>
      <c r="J404" s="32">
        <v>1.12802</v>
      </c>
      <c r="K404" s="33">
        <v>26.395</v>
      </c>
      <c r="L404" s="33">
        <v>117.90900000000001</v>
      </c>
      <c r="M404" s="33">
        <v>9.4049999999999994</v>
      </c>
      <c r="N404" s="32"/>
      <c r="O404" s="32"/>
      <c r="P404" s="32"/>
      <c r="Q404" s="32"/>
      <c r="R404" s="32"/>
      <c r="S404" s="32"/>
      <c r="T404" s="32"/>
      <c r="U404" s="32"/>
      <c r="V404" s="32"/>
    </row>
    <row r="405" spans="1:22" x14ac:dyDescent="0.3">
      <c r="A405" s="32" t="s">
        <v>79</v>
      </c>
      <c r="B405" s="32">
        <v>2010</v>
      </c>
      <c r="C405" s="32">
        <v>44.719000000000001</v>
      </c>
      <c r="D405" s="33">
        <v>65</v>
      </c>
      <c r="E405" s="32">
        <v>25.59</v>
      </c>
      <c r="F405" s="33">
        <v>25.922697857898701</v>
      </c>
      <c r="G405" s="33">
        <v>13189.8433874768</v>
      </c>
      <c r="H405" s="33">
        <v>1.06795068152045</v>
      </c>
      <c r="I405" s="33">
        <v>21.639399999999998</v>
      </c>
      <c r="J405" s="32">
        <v>1.1286499999999999</v>
      </c>
      <c r="K405" s="33">
        <v>26.393000000000001</v>
      </c>
      <c r="L405" s="33">
        <v>120.369</v>
      </c>
      <c r="M405" s="33">
        <v>10.557</v>
      </c>
      <c r="N405" s="32"/>
      <c r="O405" s="32"/>
      <c r="P405" s="32"/>
      <c r="Q405" s="32"/>
      <c r="R405" s="32"/>
      <c r="S405" s="32"/>
      <c r="T405" s="32"/>
      <c r="U405" s="32"/>
      <c r="V405" s="32"/>
    </row>
    <row r="406" spans="1:22" x14ac:dyDescent="0.3">
      <c r="A406" s="32" t="s">
        <v>79</v>
      </c>
      <c r="B406" s="32">
        <v>2011</v>
      </c>
      <c r="C406" s="32">
        <v>45.088000000000001</v>
      </c>
      <c r="D406" s="33">
        <v>68.02</v>
      </c>
      <c r="E406" s="32">
        <v>21.58</v>
      </c>
      <c r="F406" s="33">
        <v>25.179361878503499</v>
      </c>
      <c r="G406" s="33">
        <v>14211.4605578219</v>
      </c>
      <c r="H406" s="33">
        <v>1.91670916599741</v>
      </c>
      <c r="I406" s="33">
        <v>23.254899999999999</v>
      </c>
      <c r="J406" s="32">
        <v>1.1792499999999999</v>
      </c>
      <c r="K406" s="33">
        <v>25.957000000000001</v>
      </c>
      <c r="L406" s="33">
        <v>117.526</v>
      </c>
      <c r="M406" s="33">
        <v>10.661</v>
      </c>
      <c r="N406" s="32"/>
      <c r="O406" s="32"/>
      <c r="P406" s="32"/>
      <c r="Q406" s="32"/>
      <c r="R406" s="32"/>
      <c r="S406" s="32"/>
      <c r="T406" s="32"/>
      <c r="U406" s="32"/>
      <c r="V406" s="32"/>
    </row>
    <row r="407" spans="1:22" x14ac:dyDescent="0.3">
      <c r="A407" s="32" t="s">
        <v>79</v>
      </c>
      <c r="B407" s="32">
        <v>2012</v>
      </c>
      <c r="C407" s="32">
        <v>45.975999999999999</v>
      </c>
      <c r="D407" s="33">
        <v>70.58</v>
      </c>
      <c r="E407" s="32">
        <v>17.45</v>
      </c>
      <c r="F407" s="33">
        <v>21.2196345000287</v>
      </c>
      <c r="G407" s="33">
        <v>12950.1594488142</v>
      </c>
      <c r="H407" s="33">
        <v>-1.3394844651818101</v>
      </c>
      <c r="I407" s="33">
        <v>24.161799999999999</v>
      </c>
      <c r="J407" s="32">
        <v>1.25423</v>
      </c>
      <c r="K407" s="33">
        <v>28.184999999999999</v>
      </c>
      <c r="L407" s="33">
        <v>116.768</v>
      </c>
      <c r="M407" s="33">
        <v>10.754</v>
      </c>
      <c r="N407" s="32"/>
      <c r="O407" s="32"/>
      <c r="P407" s="32"/>
      <c r="Q407" s="32"/>
      <c r="R407" s="32"/>
      <c r="S407" s="32"/>
      <c r="T407" s="32"/>
      <c r="U407" s="32"/>
      <c r="V407" s="32"/>
    </row>
    <row r="408" spans="1:22" x14ac:dyDescent="0.3">
      <c r="A408" s="32" t="s">
        <v>79</v>
      </c>
      <c r="B408" s="32">
        <v>2013</v>
      </c>
      <c r="C408" s="32">
        <v>46.87</v>
      </c>
      <c r="D408" s="33">
        <v>72.643900000000002</v>
      </c>
      <c r="E408" s="32">
        <v>14.77</v>
      </c>
      <c r="F408" s="33">
        <v>19.369152311200299</v>
      </c>
      <c r="G408" s="33">
        <v>13739.4620151401</v>
      </c>
      <c r="H408" s="33">
        <v>2.0321699067814598</v>
      </c>
      <c r="I408" s="33">
        <v>26.2622</v>
      </c>
      <c r="J408" s="32">
        <v>1.3841000000000001</v>
      </c>
      <c r="K408" s="33">
        <v>26.545999999999999</v>
      </c>
      <c r="L408" s="33">
        <v>117.2</v>
      </c>
      <c r="M408" s="33">
        <v>10.000999999999999</v>
      </c>
      <c r="N408" s="32"/>
      <c r="O408" s="32"/>
      <c r="P408" s="32"/>
      <c r="Q408" s="32"/>
      <c r="R408" s="32"/>
      <c r="S408" s="32"/>
      <c r="T408" s="32"/>
      <c r="U408" s="32"/>
      <c r="V408" s="32"/>
    </row>
    <row r="409" spans="1:22" x14ac:dyDescent="0.3">
      <c r="A409" s="32" t="s">
        <v>79</v>
      </c>
      <c r="B409" s="32">
        <v>2014</v>
      </c>
      <c r="C409" s="32">
        <v>49.533999999999999</v>
      </c>
      <c r="D409" s="33">
        <v>75.653199999999998</v>
      </c>
      <c r="E409" s="32">
        <v>11.92</v>
      </c>
      <c r="F409" s="33">
        <v>16.690197511843401</v>
      </c>
      <c r="G409" s="33">
        <v>14352.5018831739</v>
      </c>
      <c r="H409" s="33">
        <v>4.3343536411396704</v>
      </c>
      <c r="I409" s="33">
        <v>26.164200000000001</v>
      </c>
      <c r="J409" s="32">
        <v>1.3446</v>
      </c>
      <c r="K409" s="33">
        <v>20.378</v>
      </c>
      <c r="L409" s="33">
        <v>118.896</v>
      </c>
      <c r="M409" s="33">
        <v>7.3789999999999996</v>
      </c>
      <c r="N409" s="32"/>
      <c r="O409" s="32"/>
      <c r="P409" s="32"/>
      <c r="Q409" s="32"/>
      <c r="R409" s="32"/>
      <c r="S409" s="32"/>
      <c r="T409" s="32"/>
      <c r="U409" s="32"/>
      <c r="V409" s="32"/>
    </row>
    <row r="410" spans="1:22" x14ac:dyDescent="0.3">
      <c r="A410" s="32" t="s">
        <v>79</v>
      </c>
      <c r="B410" s="32">
        <v>2015</v>
      </c>
      <c r="C410" s="32">
        <v>51.026000000000003</v>
      </c>
      <c r="D410" s="33">
        <v>72.834699999999998</v>
      </c>
      <c r="E410" s="32">
        <v>11.62</v>
      </c>
      <c r="F410" s="33">
        <v>17.083258445169999</v>
      </c>
      <c r="G410" s="33">
        <v>12782.9412577972</v>
      </c>
      <c r="H410" s="33">
        <v>3.65981615406954</v>
      </c>
      <c r="I410" s="33">
        <v>27.632200000000001</v>
      </c>
      <c r="J410" s="32">
        <v>1.3395900000000001</v>
      </c>
      <c r="K410" s="33">
        <v>17.271999999999998</v>
      </c>
      <c r="L410" s="33">
        <v>100.624</v>
      </c>
      <c r="M410" s="33">
        <v>6.4009999999999998</v>
      </c>
      <c r="N410" s="32"/>
      <c r="O410" s="32"/>
      <c r="P410" s="32"/>
      <c r="Q410" s="32"/>
      <c r="R410" s="32"/>
      <c r="S410" s="32"/>
      <c r="T410" s="32"/>
      <c r="U410" s="32"/>
      <c r="V410" s="32"/>
    </row>
    <row r="411" spans="1:22" x14ac:dyDescent="0.3">
      <c r="A411" s="32" t="s">
        <v>79</v>
      </c>
      <c r="B411" s="32">
        <v>2016</v>
      </c>
      <c r="C411" s="32">
        <v>52.847000000000001</v>
      </c>
      <c r="D411" s="33">
        <v>79.259399999999999</v>
      </c>
      <c r="E411" s="32">
        <v>11.38</v>
      </c>
      <c r="F411" s="33">
        <v>17.576453021337301</v>
      </c>
      <c r="G411" s="33">
        <v>13215.860527778799</v>
      </c>
      <c r="H411" s="33">
        <v>2.43864141309342</v>
      </c>
      <c r="I411" s="33">
        <v>28.688800000000001</v>
      </c>
      <c r="J411" s="32">
        <v>1.17987</v>
      </c>
      <c r="K411" s="33">
        <v>12.922000000000001</v>
      </c>
      <c r="L411" s="33">
        <v>101.44199999999999</v>
      </c>
      <c r="M411" s="33">
        <v>4.76</v>
      </c>
      <c r="N411" s="32"/>
      <c r="O411" s="32"/>
      <c r="P411" s="32"/>
      <c r="Q411" s="32"/>
      <c r="R411" s="32"/>
      <c r="S411" s="32"/>
      <c r="T411" s="32"/>
      <c r="U411" s="32"/>
      <c r="V411" s="32"/>
    </row>
    <row r="412" spans="1:22" x14ac:dyDescent="0.3">
      <c r="A412" s="32" t="s">
        <v>79</v>
      </c>
      <c r="B412" s="32">
        <v>2017</v>
      </c>
      <c r="C412" s="32">
        <v>53.935000000000002</v>
      </c>
      <c r="D412" s="33">
        <v>76.750500000000002</v>
      </c>
      <c r="E412" s="32">
        <v>11.42</v>
      </c>
      <c r="F412" s="33">
        <v>17.263073277676401</v>
      </c>
      <c r="G412" s="33">
        <v>14736.166815725799</v>
      </c>
      <c r="H412" s="33">
        <v>4.1241838945180502</v>
      </c>
      <c r="I412" s="33">
        <v>30.2136</v>
      </c>
      <c r="J412" s="32">
        <v>1.3170200000000001</v>
      </c>
      <c r="K412" s="33">
        <v>10.698</v>
      </c>
      <c r="L412" s="33">
        <v>101.629</v>
      </c>
      <c r="M412" s="33">
        <v>3.7450000000000001</v>
      </c>
      <c r="N412" s="32"/>
      <c r="O412" s="32"/>
      <c r="P412" s="32"/>
      <c r="Q412" s="32"/>
      <c r="R412" s="32"/>
      <c r="S412" s="32"/>
      <c r="T412" s="32"/>
      <c r="U412" s="32"/>
      <c r="V412" s="32"/>
    </row>
    <row r="413" spans="1:22" x14ac:dyDescent="0.3">
      <c r="A413" s="32" t="s">
        <v>79</v>
      </c>
      <c r="B413" s="32">
        <v>2018</v>
      </c>
      <c r="C413" s="32">
        <v>54.887999999999998</v>
      </c>
      <c r="D413" s="33">
        <v>76.074399999999997</v>
      </c>
      <c r="E413" s="32">
        <v>11.34</v>
      </c>
      <c r="F413" s="33">
        <v>16.820985862964498</v>
      </c>
      <c r="G413" s="33">
        <v>16605.0570511886</v>
      </c>
      <c r="H413" s="33">
        <v>5.6061381376887596</v>
      </c>
      <c r="I413" s="33">
        <v>31.5063</v>
      </c>
      <c r="J413" s="32">
        <v>1.5077499999999999</v>
      </c>
      <c r="K413" s="33">
        <v>10.148999999999999</v>
      </c>
      <c r="L413" s="33">
        <v>102.73699999999999</v>
      </c>
      <c r="M413" s="33">
        <v>3.3460000000000001</v>
      </c>
      <c r="N413" s="32"/>
      <c r="O413" s="32"/>
      <c r="P413" s="32"/>
      <c r="Q413" s="32"/>
      <c r="R413" s="32"/>
      <c r="S413" s="32"/>
      <c r="T413" s="32"/>
      <c r="U413" s="32"/>
      <c r="V413" s="32"/>
    </row>
    <row r="414" spans="1:22" x14ac:dyDescent="0.3">
      <c r="A414" s="32" t="s">
        <v>79</v>
      </c>
      <c r="B414" s="32">
        <v>2019</v>
      </c>
      <c r="C414" s="32">
        <v>55.414000000000001</v>
      </c>
      <c r="D414" s="33">
        <v>80.371700000000004</v>
      </c>
      <c r="E414" s="32">
        <v>12.82</v>
      </c>
      <c r="F414" s="33">
        <v>17.378760062212798</v>
      </c>
      <c r="G414" s="33">
        <v>17012.859855319799</v>
      </c>
      <c r="H414" s="33">
        <v>5.0771849508893299</v>
      </c>
      <c r="I414" s="33">
        <v>32.646599999999999</v>
      </c>
      <c r="J414" s="32">
        <v>1.4729099999999999</v>
      </c>
      <c r="K414" s="33">
        <v>11.4</v>
      </c>
      <c r="L414" s="33">
        <v>105.142</v>
      </c>
      <c r="M414" s="33">
        <v>3.0190000000000001</v>
      </c>
      <c r="N414" s="32"/>
      <c r="O414" s="32"/>
      <c r="P414" s="32"/>
      <c r="Q414" s="32"/>
      <c r="R414" s="32"/>
      <c r="S414" s="32"/>
      <c r="T414" s="32"/>
      <c r="U414" s="32"/>
      <c r="V414" s="32"/>
    </row>
    <row r="415" spans="1:22" x14ac:dyDescent="0.3">
      <c r="A415" s="32" t="s">
        <v>79</v>
      </c>
      <c r="B415" s="32">
        <v>2020</v>
      </c>
      <c r="C415" s="32">
        <v>54.726999999999997</v>
      </c>
      <c r="D415" s="33">
        <v>84.771199999999993</v>
      </c>
      <c r="E415" s="32">
        <v>13.09</v>
      </c>
      <c r="F415" s="33">
        <v>17.464880722177799</v>
      </c>
      <c r="G415" s="33">
        <v>16386.930882125798</v>
      </c>
      <c r="H415" s="33">
        <v>-4.3387254002405697</v>
      </c>
      <c r="I415" s="33">
        <v>33.492199999999997</v>
      </c>
      <c r="J415" s="32">
        <v>1.5925199999999999</v>
      </c>
      <c r="K415" s="33">
        <v>12.757</v>
      </c>
      <c r="L415" s="33">
        <v>105.982</v>
      </c>
      <c r="M415" s="33">
        <v>4.1159999999999997</v>
      </c>
      <c r="N415" s="32"/>
      <c r="O415" s="32"/>
      <c r="P415" s="32"/>
      <c r="Q415" s="32"/>
      <c r="R415" s="32"/>
      <c r="S415" s="32"/>
      <c r="T415" s="32"/>
      <c r="U415" s="32"/>
      <c r="V415" s="32"/>
    </row>
    <row r="416" spans="1:22" x14ac:dyDescent="0.3">
      <c r="A416" s="32" t="s">
        <v>79</v>
      </c>
      <c r="B416" s="32">
        <v>2021</v>
      </c>
      <c r="C416" s="32">
        <v>57.341000000000001</v>
      </c>
      <c r="D416" s="33">
        <v>88.640799999999999</v>
      </c>
      <c r="E416" s="32">
        <v>12.29</v>
      </c>
      <c r="F416" s="33">
        <v>16.397512642927801</v>
      </c>
      <c r="G416" s="33">
        <v>19030.628130329002</v>
      </c>
      <c r="H416" s="33">
        <v>7.2229158081113596</v>
      </c>
      <c r="I416" s="33">
        <v>34.839199999999998</v>
      </c>
      <c r="J416" s="32">
        <v>1.6437900000000001</v>
      </c>
      <c r="K416" s="33">
        <v>13.459</v>
      </c>
      <c r="L416" s="33">
        <v>105.137</v>
      </c>
      <c r="M416" s="33">
        <v>3.9420000000000002</v>
      </c>
      <c r="N416" s="32"/>
      <c r="O416" s="32"/>
      <c r="P416" s="32"/>
      <c r="Q416" s="32"/>
      <c r="R416" s="32"/>
      <c r="S416" s="32"/>
      <c r="T416" s="32"/>
      <c r="U416" s="32"/>
      <c r="V416" s="32"/>
    </row>
    <row r="417" spans="1:22" x14ac:dyDescent="0.3">
      <c r="A417" s="32" t="s">
        <v>79</v>
      </c>
      <c r="B417" s="32">
        <v>2022</v>
      </c>
      <c r="C417" s="32">
        <v>58.295000000000002</v>
      </c>
      <c r="D417" s="33">
        <v>89.142799999999994</v>
      </c>
      <c r="E417" s="32">
        <v>10.33</v>
      </c>
      <c r="F417" s="33">
        <v>18.404891725843001</v>
      </c>
      <c r="G417" s="33">
        <v>18428.028825613899</v>
      </c>
      <c r="H417" s="33">
        <v>4.1523805777922798</v>
      </c>
      <c r="I417" s="33">
        <v>36.533799999999999</v>
      </c>
      <c r="J417" s="32">
        <v>1.39473</v>
      </c>
      <c r="K417" s="33">
        <v>10.558</v>
      </c>
      <c r="L417" s="33">
        <v>105.794</v>
      </c>
      <c r="M417" s="33">
        <v>3.306</v>
      </c>
      <c r="N417" s="32"/>
      <c r="O417" s="32"/>
      <c r="P417" s="32"/>
      <c r="Q417" s="32"/>
      <c r="R417" s="32"/>
      <c r="S417" s="32"/>
      <c r="T417" s="32"/>
      <c r="U417" s="32"/>
      <c r="V417" s="32"/>
    </row>
    <row r="418" spans="1:22" x14ac:dyDescent="0.3">
      <c r="A418" s="41" t="s">
        <v>78</v>
      </c>
      <c r="B418" s="41">
        <v>2007</v>
      </c>
      <c r="C418" s="41">
        <f t="array" ref="C418:C433">TRANSPOSE(EMPLOYrate!D15:S15)</f>
        <v>52.293999999999997</v>
      </c>
      <c r="D418" s="42" cm="1">
        <f t="array" ref="D418:D433">TRANSPOSE(ictuse!D24:S24)</f>
        <v>61.8</v>
      </c>
      <c r="E418" s="41">
        <f t="array" ref="E418:E433">TRANSPOSE(ictgoods!D21:S21)</f>
        <v>1.45</v>
      </c>
      <c r="F418" s="42" cm="1">
        <f t="array" ref="F418:F433">TRANSPOSE(hightechmanu!C26:R26)</f>
        <v>5.39522983956304</v>
      </c>
      <c r="G418" s="42" cm="1">
        <f t="array" ref="G418:G433">TRANSPOSE(gdppercapita!D24:S24)</f>
        <v>16110.4817265237</v>
      </c>
      <c r="H418" s="42" cm="1">
        <f t="array" ref="H418:H433">TRANSPOSE(gdpannual!D25:S25)</f>
        <v>10.8186295074903</v>
      </c>
      <c r="I418" s="42" cm="1">
        <f t="array" ref="I418:I433">TRANSPOSE(fixedbroadband!D28:S28)</f>
        <v>10.166700000000001</v>
      </c>
      <c r="J418" s="41" cm="1">
        <f t="array" ref="J418:J433">TRANSPOSE(rdexpediture!D4:S4)</f>
        <v>0.44746000000000002</v>
      </c>
      <c r="K418" s="42" cm="1">
        <f t="array" ref="K418:K433">TRANSPOSE(YOUTH_EMPLOY!D25:S25)</f>
        <v>20.478999999999999</v>
      </c>
      <c r="L418" s="42">
        <f t="array" ref="L418:L433">TRANSPOSE(mobile_celular!D16:S16)</f>
        <v>112.852</v>
      </c>
      <c r="M418" s="42">
        <f t="array" ref="M418:M433">TRANSPOSE(unemployEAD!C26:R26)</f>
        <v>8.5239999999999991</v>
      </c>
      <c r="N418" s="41"/>
      <c r="O418" s="41"/>
      <c r="P418" s="41"/>
      <c r="Q418" s="41"/>
      <c r="R418" s="41"/>
      <c r="S418" s="41"/>
      <c r="T418" s="41"/>
      <c r="U418" s="41"/>
      <c r="V418" s="41"/>
    </row>
    <row r="419" spans="1:22" x14ac:dyDescent="0.3">
      <c r="A419" s="41" t="s">
        <v>78</v>
      </c>
      <c r="B419" s="41">
        <v>2008</v>
      </c>
      <c r="C419" s="41">
        <v>53.673000000000002</v>
      </c>
      <c r="D419" s="42">
        <v>66.05</v>
      </c>
      <c r="E419" s="41">
        <v>2.11</v>
      </c>
      <c r="F419" s="42">
        <v>5.0851430678071896</v>
      </c>
      <c r="G419" s="42">
        <v>18744.319227834501</v>
      </c>
      <c r="H419" s="42">
        <v>5.3633772123194898</v>
      </c>
      <c r="I419" s="42">
        <v>11.241400000000001</v>
      </c>
      <c r="J419" s="41">
        <v>0.46137</v>
      </c>
      <c r="K419" s="42">
        <v>19.068999999999999</v>
      </c>
      <c r="L419" s="42">
        <v>102.62</v>
      </c>
      <c r="M419" s="42">
        <v>7.3609999999999998</v>
      </c>
      <c r="N419" s="41"/>
      <c r="O419" s="41"/>
      <c r="P419" s="41"/>
      <c r="Q419" s="41"/>
      <c r="R419" s="41"/>
      <c r="S419" s="41"/>
      <c r="T419" s="41"/>
      <c r="U419" s="41"/>
      <c r="V419" s="41"/>
    </row>
    <row r="420" spans="1:22" x14ac:dyDescent="0.3">
      <c r="A420" s="41" t="s">
        <v>78</v>
      </c>
      <c r="B420" s="41">
        <v>2009</v>
      </c>
      <c r="C420" s="41">
        <v>51.798999999999999</v>
      </c>
      <c r="D420" s="42">
        <v>70</v>
      </c>
      <c r="E420" s="41">
        <v>2.3199999999999998</v>
      </c>
      <c r="F420" s="42">
        <v>6.3405837690537599</v>
      </c>
      <c r="G420" s="42">
        <v>16586.7527805227</v>
      </c>
      <c r="H420" s="42">
        <v>-5.5053379097222503</v>
      </c>
      <c r="I420" s="42">
        <v>14.3927</v>
      </c>
      <c r="J420" s="41">
        <v>0.47271999999999997</v>
      </c>
      <c r="K420" s="42">
        <v>27.422999999999998</v>
      </c>
      <c r="L420" s="42">
        <v>102.092</v>
      </c>
      <c r="M420" s="42">
        <v>10.173</v>
      </c>
      <c r="N420" s="41"/>
      <c r="O420" s="41"/>
      <c r="P420" s="41"/>
      <c r="Q420" s="41"/>
      <c r="R420" s="41"/>
      <c r="S420" s="41"/>
      <c r="T420" s="41"/>
      <c r="U420" s="41"/>
      <c r="V420" s="41"/>
    </row>
    <row r="421" spans="1:22" x14ac:dyDescent="0.3">
      <c r="A421" s="41" t="s">
        <v>78</v>
      </c>
      <c r="B421" s="41">
        <v>2010</v>
      </c>
      <c r="C421" s="41">
        <v>50.521999999999998</v>
      </c>
      <c r="D421" s="42">
        <v>75.709999999999994</v>
      </c>
      <c r="E421" s="41">
        <v>2.1800000000000002</v>
      </c>
      <c r="F421" s="42">
        <v>7.3642892046800199</v>
      </c>
      <c r="G421" s="42">
        <v>16899.448680528902</v>
      </c>
      <c r="H421" s="42">
        <v>6.7905815914242202</v>
      </c>
      <c r="I421" s="42">
        <v>16.264399999999998</v>
      </c>
      <c r="J421" s="41">
        <v>0.60550000000000004</v>
      </c>
      <c r="K421" s="42">
        <v>33.749000000000002</v>
      </c>
      <c r="L421" s="42">
        <v>109.88800000000001</v>
      </c>
      <c r="M421" s="42">
        <v>12.468</v>
      </c>
      <c r="N421" s="41"/>
      <c r="O421" s="41"/>
      <c r="P421" s="41"/>
      <c r="Q421" s="41"/>
      <c r="R421" s="41"/>
      <c r="S421" s="41"/>
      <c r="T421" s="41"/>
      <c r="U421" s="41"/>
      <c r="V421" s="41"/>
    </row>
    <row r="422" spans="1:22" x14ac:dyDescent="0.3">
      <c r="A422" s="41" t="s">
        <v>78</v>
      </c>
      <c r="B422" s="41">
        <v>2011</v>
      </c>
      <c r="C422" s="41">
        <v>50.771999999999998</v>
      </c>
      <c r="D422" s="42">
        <v>74.44</v>
      </c>
      <c r="E422" s="41">
        <v>1.92</v>
      </c>
      <c r="F422" s="42">
        <v>7.5246632762285603</v>
      </c>
      <c r="G422" s="42">
        <v>18469.4354316836</v>
      </c>
      <c r="H422" s="42">
        <v>2.56242473215553</v>
      </c>
      <c r="I422" s="42">
        <v>17.656099999999999</v>
      </c>
      <c r="J422" s="41">
        <v>0.65254999999999996</v>
      </c>
      <c r="K422" s="42">
        <v>33.487000000000002</v>
      </c>
      <c r="L422" s="42">
        <v>110.836</v>
      </c>
      <c r="M422" s="42">
        <v>13.256</v>
      </c>
      <c r="N422" s="41"/>
      <c r="O422" s="41"/>
      <c r="P422" s="41"/>
      <c r="Q422" s="41"/>
      <c r="R422" s="41"/>
      <c r="S422" s="41"/>
      <c r="T422" s="41"/>
      <c r="U422" s="41"/>
      <c r="V422" s="41"/>
    </row>
    <row r="423" spans="1:22" x14ac:dyDescent="0.3">
      <c r="A423" s="41" t="s">
        <v>78</v>
      </c>
      <c r="B423" s="41">
        <v>2012</v>
      </c>
      <c r="C423" s="41">
        <v>50.945</v>
      </c>
      <c r="D423" s="42">
        <v>76.709999999999994</v>
      </c>
      <c r="E423" s="41">
        <v>1.79</v>
      </c>
      <c r="F423" s="42">
        <v>9.5686239704236602</v>
      </c>
      <c r="G423" s="42">
        <v>17516.969105407701</v>
      </c>
      <c r="H423" s="42">
        <v>1.5691710470270499</v>
      </c>
      <c r="I423" s="42">
        <v>19.343499999999999</v>
      </c>
      <c r="J423" s="41">
        <v>0.79461000000000004</v>
      </c>
      <c r="K423" s="42">
        <v>34.101999999999997</v>
      </c>
      <c r="L423" s="42">
        <v>112.759</v>
      </c>
      <c r="M423" s="42">
        <v>13.3</v>
      </c>
      <c r="N423" s="41"/>
      <c r="O423" s="41"/>
      <c r="P423" s="41"/>
      <c r="Q423" s="41"/>
      <c r="R423" s="41"/>
      <c r="S423" s="41"/>
      <c r="T423" s="41"/>
      <c r="U423" s="41"/>
      <c r="V423" s="41"/>
    </row>
    <row r="424" spans="1:22" x14ac:dyDescent="0.3">
      <c r="A424" s="41" t="s">
        <v>78</v>
      </c>
      <c r="B424" s="41">
        <v>2013</v>
      </c>
      <c r="C424" s="41">
        <v>50.860999999999997</v>
      </c>
      <c r="D424" s="42">
        <v>77.882599999999996</v>
      </c>
      <c r="E424" s="41">
        <v>1.67</v>
      </c>
      <c r="F424" s="42">
        <v>11.0149736185921</v>
      </c>
      <c r="G424" s="42">
        <v>18312.7805149823</v>
      </c>
      <c r="H424" s="42">
        <v>0.70332354524720098</v>
      </c>
      <c r="I424" s="42">
        <v>20.4986</v>
      </c>
      <c r="J424" s="41">
        <v>0.82004999999999995</v>
      </c>
      <c r="K424" s="42">
        <v>33.710999999999999</v>
      </c>
      <c r="L424" s="42">
        <v>114.749</v>
      </c>
      <c r="M424" s="42">
        <v>13.849</v>
      </c>
      <c r="N424" s="41"/>
      <c r="O424" s="41"/>
      <c r="P424" s="41"/>
      <c r="Q424" s="41"/>
      <c r="R424" s="41"/>
      <c r="S424" s="41"/>
      <c r="T424" s="41"/>
      <c r="U424" s="41"/>
      <c r="V424" s="41"/>
    </row>
    <row r="425" spans="1:22" x14ac:dyDescent="0.3">
      <c r="A425" s="41" t="s">
        <v>78</v>
      </c>
      <c r="B425" s="41">
        <v>2014</v>
      </c>
      <c r="C425" s="41">
        <v>52.817</v>
      </c>
      <c r="D425" s="42">
        <v>79.984300000000005</v>
      </c>
      <c r="E425" s="41">
        <v>1.88</v>
      </c>
      <c r="F425" s="42">
        <v>11.147735962980001</v>
      </c>
      <c r="G425" s="42">
        <v>18770.928989654501</v>
      </c>
      <c r="H425" s="42">
        <v>2.70795151449488</v>
      </c>
      <c r="I425" s="42">
        <v>21.997499999999999</v>
      </c>
      <c r="J425" s="41">
        <v>0.877</v>
      </c>
      <c r="K425" s="42">
        <v>26.745000000000001</v>
      </c>
      <c r="L425" s="42">
        <v>117.78100000000001</v>
      </c>
      <c r="M425" s="42">
        <v>10.992000000000001</v>
      </c>
      <c r="N425" s="41"/>
      <c r="O425" s="41"/>
      <c r="P425" s="41"/>
      <c r="Q425" s="41"/>
      <c r="R425" s="41"/>
      <c r="S425" s="41"/>
      <c r="T425" s="41"/>
      <c r="U425" s="41"/>
      <c r="V425" s="41"/>
    </row>
    <row r="426" spans="1:22" x14ac:dyDescent="0.3">
      <c r="A426" s="41" t="s">
        <v>78</v>
      </c>
      <c r="B426" s="41">
        <v>2015</v>
      </c>
      <c r="C426" s="41">
        <v>52.816000000000003</v>
      </c>
      <c r="D426" s="42">
        <v>77.634699999999995</v>
      </c>
      <c r="E426" s="41">
        <v>2.02</v>
      </c>
      <c r="F426" s="42">
        <v>11.1586996928016</v>
      </c>
      <c r="G426" s="42">
        <v>16442.0760860017</v>
      </c>
      <c r="H426" s="42">
        <v>5.1768790972213301</v>
      </c>
      <c r="I426" s="42">
        <v>23.500900000000001</v>
      </c>
      <c r="J426" s="41">
        <v>1.15727</v>
      </c>
      <c r="K426" s="42">
        <v>26.571000000000002</v>
      </c>
      <c r="L426" s="42">
        <v>123.15900000000001</v>
      </c>
      <c r="M426" s="42">
        <v>10.961</v>
      </c>
      <c r="N426" s="41"/>
      <c r="O426" s="41"/>
      <c r="P426" s="41"/>
      <c r="Q426" s="41"/>
      <c r="R426" s="41"/>
      <c r="S426" s="41"/>
      <c r="T426" s="41"/>
      <c r="U426" s="41"/>
      <c r="V426" s="41"/>
    </row>
    <row r="427" spans="1:22" x14ac:dyDescent="0.3">
      <c r="A427" s="41" t="s">
        <v>78</v>
      </c>
      <c r="B427" s="41">
        <v>2016</v>
      </c>
      <c r="C427" s="41">
        <v>54.261000000000003</v>
      </c>
      <c r="D427" s="42">
        <v>80.475899999999996</v>
      </c>
      <c r="E427" s="41">
        <v>1.81</v>
      </c>
      <c r="F427" s="42">
        <v>10.7371880441488</v>
      </c>
      <c r="G427" s="42">
        <v>16636.076913307301</v>
      </c>
      <c r="H427" s="42">
        <v>1.94781841524557</v>
      </c>
      <c r="I427" s="42">
        <v>24.6264</v>
      </c>
      <c r="J427" s="41">
        <v>0.78856999999999999</v>
      </c>
      <c r="K427" s="42">
        <v>22.274000000000001</v>
      </c>
      <c r="L427" s="42">
        <v>128.792</v>
      </c>
      <c r="M427" s="42">
        <v>9.2070000000000007</v>
      </c>
      <c r="N427" s="41"/>
      <c r="O427" s="41"/>
      <c r="P427" s="41"/>
      <c r="Q427" s="41"/>
      <c r="R427" s="41"/>
      <c r="S427" s="41"/>
      <c r="T427" s="41"/>
      <c r="U427" s="41"/>
      <c r="V427" s="41"/>
    </row>
    <row r="428" spans="1:22" x14ac:dyDescent="0.3">
      <c r="A428" s="41" t="s">
        <v>78</v>
      </c>
      <c r="B428" s="41">
        <v>2017</v>
      </c>
      <c r="C428" s="41">
        <v>55.085999999999999</v>
      </c>
      <c r="D428" s="42">
        <v>81.625699999999995</v>
      </c>
      <c r="E428" s="41">
        <v>1.83</v>
      </c>
      <c r="F428" s="42">
        <v>11.765420230272699</v>
      </c>
      <c r="G428" s="42">
        <v>17645.529871676099</v>
      </c>
      <c r="H428" s="42">
        <v>2.87473327453695</v>
      </c>
      <c r="I428" s="42">
        <v>25.859100000000002</v>
      </c>
      <c r="J428" s="41">
        <v>0.88456000000000001</v>
      </c>
      <c r="K428" s="42">
        <v>18.962</v>
      </c>
      <c r="L428" s="42">
        <v>130.94499999999999</v>
      </c>
      <c r="M428" s="42">
        <v>7.5720000000000001</v>
      </c>
      <c r="N428" s="41"/>
      <c r="O428" s="41"/>
      <c r="P428" s="41"/>
      <c r="Q428" s="41"/>
      <c r="R428" s="41"/>
      <c r="S428" s="41"/>
      <c r="T428" s="41"/>
      <c r="U428" s="41"/>
      <c r="V428" s="41"/>
    </row>
    <row r="429" spans="1:22" x14ac:dyDescent="0.3">
      <c r="A429" s="41" t="s">
        <v>78</v>
      </c>
      <c r="B429" s="41">
        <v>2018</v>
      </c>
      <c r="C429" s="41">
        <v>55.9</v>
      </c>
      <c r="D429" s="42">
        <v>80.448899999999995</v>
      </c>
      <c r="E429" s="41">
        <v>1.63</v>
      </c>
      <c r="F429" s="42">
        <v>11.0338768311764</v>
      </c>
      <c r="G429" s="42">
        <v>19573.371703131401</v>
      </c>
      <c r="H429" s="42">
        <v>4.0621198189648302</v>
      </c>
      <c r="I429" s="42">
        <v>27.695399999999999</v>
      </c>
      <c r="J429" s="41">
        <v>0.83555000000000001</v>
      </c>
      <c r="K429" s="42">
        <v>14.971</v>
      </c>
      <c r="L429" s="42">
        <v>133.04</v>
      </c>
      <c r="M429" s="42">
        <v>5.8079999999999998</v>
      </c>
      <c r="N429" s="41"/>
      <c r="O429" s="41"/>
      <c r="P429" s="41"/>
      <c r="Q429" s="41"/>
      <c r="R429" s="41"/>
      <c r="S429" s="41"/>
      <c r="T429" s="41"/>
      <c r="U429" s="41"/>
      <c r="V429" s="41"/>
    </row>
    <row r="430" spans="1:22" x14ac:dyDescent="0.3">
      <c r="A430" s="41" t="s">
        <v>78</v>
      </c>
      <c r="B430" s="41">
        <v>2019</v>
      </c>
      <c r="C430" s="41">
        <v>56.256</v>
      </c>
      <c r="D430" s="42">
        <v>82.853700000000003</v>
      </c>
      <c r="E430" s="41">
        <v>1.79</v>
      </c>
      <c r="F430" s="42">
        <v>9.9123888270262608</v>
      </c>
      <c r="G430" s="42">
        <v>19406.058968358098</v>
      </c>
      <c r="H430" s="42">
        <v>2.2758991001939202</v>
      </c>
      <c r="I430" s="42">
        <v>29.181100000000001</v>
      </c>
      <c r="J430" s="41">
        <v>0.82240000000000002</v>
      </c>
      <c r="K430" s="42">
        <v>16.12</v>
      </c>
      <c r="L430" s="42">
        <v>135.756</v>
      </c>
      <c r="M430" s="42">
        <v>4.8230000000000004</v>
      </c>
      <c r="N430" s="41"/>
      <c r="O430" s="41"/>
      <c r="P430" s="41"/>
      <c r="Q430" s="41"/>
      <c r="R430" s="41"/>
      <c r="S430" s="41"/>
      <c r="T430" s="41"/>
      <c r="U430" s="41"/>
      <c r="V430" s="41"/>
    </row>
    <row r="431" spans="1:22" x14ac:dyDescent="0.3">
      <c r="A431" s="41" t="s">
        <v>78</v>
      </c>
      <c r="B431" s="41">
        <v>2020</v>
      </c>
      <c r="C431" s="41">
        <v>55.069000000000003</v>
      </c>
      <c r="D431" s="42">
        <v>89.920900000000003</v>
      </c>
      <c r="E431" s="41">
        <v>1.81</v>
      </c>
      <c r="F431" s="42">
        <v>9.9974144679811392</v>
      </c>
      <c r="G431" s="42">
        <v>19735.48582808</v>
      </c>
      <c r="H431" s="42">
        <v>-2.5855124173320601</v>
      </c>
      <c r="I431" s="42">
        <v>31.192499999999999</v>
      </c>
      <c r="J431" s="41">
        <v>0.89773000000000003</v>
      </c>
      <c r="K431" s="42">
        <v>19.437999999999999</v>
      </c>
      <c r="L431" s="42">
        <v>133.63300000000001</v>
      </c>
      <c r="M431" s="42">
        <v>6.3230000000000004</v>
      </c>
      <c r="N431" s="41"/>
      <c r="O431" s="41"/>
      <c r="P431" s="41"/>
      <c r="Q431" s="41"/>
      <c r="R431" s="41"/>
      <c r="S431" s="41"/>
      <c r="T431" s="41"/>
      <c r="U431" s="41"/>
      <c r="V431" s="41"/>
    </row>
    <row r="432" spans="1:22" x14ac:dyDescent="0.3">
      <c r="A432" s="41" t="s">
        <v>78</v>
      </c>
      <c r="B432" s="41">
        <v>2021</v>
      </c>
      <c r="C432" s="41">
        <v>56.347000000000001</v>
      </c>
      <c r="D432" s="42">
        <v>88.925600000000003</v>
      </c>
      <c r="E432" s="41">
        <v>2.52</v>
      </c>
      <c r="F432" s="42">
        <v>9.0013894015107407</v>
      </c>
      <c r="G432" s="42">
        <v>22123.334211454501</v>
      </c>
      <c r="H432" s="42">
        <v>5.6558588065555</v>
      </c>
      <c r="I432" s="42">
        <v>32.606099999999998</v>
      </c>
      <c r="J432" s="41">
        <v>0.91610999999999998</v>
      </c>
      <c r="K432" s="42">
        <v>21.210999999999999</v>
      </c>
      <c r="L432" s="42">
        <v>135.268</v>
      </c>
      <c r="M432" s="42">
        <v>6.4370000000000003</v>
      </c>
      <c r="N432" s="41"/>
      <c r="O432" s="41"/>
      <c r="P432" s="41"/>
      <c r="Q432" s="41"/>
      <c r="R432" s="41"/>
      <c r="S432" s="41"/>
      <c r="T432" s="41"/>
      <c r="U432" s="41"/>
      <c r="V432" s="41"/>
    </row>
    <row r="433" spans="1:22" x14ac:dyDescent="0.3">
      <c r="A433" s="41" t="s">
        <v>78</v>
      </c>
      <c r="B433" s="41">
        <v>2022</v>
      </c>
      <c r="C433" s="41">
        <v>57.755000000000003</v>
      </c>
      <c r="D433" s="42">
        <v>89.067700000000002</v>
      </c>
      <c r="E433" s="41">
        <v>2.17</v>
      </c>
      <c r="F433" s="42">
        <v>8.4904160142059695</v>
      </c>
      <c r="G433" s="42">
        <v>21317.794398236201</v>
      </c>
      <c r="H433" s="42">
        <v>0.54459163213745398</v>
      </c>
      <c r="I433" s="42">
        <v>33.998800000000003</v>
      </c>
      <c r="J433" s="41">
        <v>0.97938999999999998</v>
      </c>
      <c r="K433" s="42">
        <v>19.923999999999999</v>
      </c>
      <c r="L433" s="42">
        <v>136.029</v>
      </c>
      <c r="M433" s="42">
        <v>5.6130000000000004</v>
      </c>
      <c r="N433" s="41"/>
      <c r="O433" s="41"/>
      <c r="P433" s="41"/>
      <c r="Q433" s="41"/>
      <c r="R433" s="41"/>
      <c r="S433" s="41"/>
      <c r="T433" s="41"/>
      <c r="U433" s="41"/>
      <c r="V433" s="41"/>
    </row>
    <row r="443" spans="1:22" x14ac:dyDescent="0.3">
      <c r="D443" s="4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A13" sqref="A13"/>
    </sheetView>
  </sheetViews>
  <sheetFormatPr defaultRowHeight="14.4" x14ac:dyDescent="0.3"/>
  <cols>
    <col min="1" max="1" width="67.88671875" bestFit="1" customWidth="1"/>
    <col min="2" max="2" width="47.77734375" bestFit="1" customWidth="1"/>
  </cols>
  <sheetData>
    <row r="1" spans="1:2" x14ac:dyDescent="0.3">
      <c r="A1" t="s">
        <v>0</v>
      </c>
    </row>
    <row r="3" spans="1:2" x14ac:dyDescent="0.3">
      <c r="A3" s="1" t="s">
        <v>1</v>
      </c>
      <c r="B3" t="s">
        <v>2</v>
      </c>
    </row>
    <row r="5" spans="1:2" x14ac:dyDescent="0.3">
      <c r="A5" s="1" t="s">
        <v>3</v>
      </c>
      <c r="B5" t="s">
        <v>4</v>
      </c>
    </row>
    <row r="7" spans="1:2" x14ac:dyDescent="0.3">
      <c r="A7" s="1" t="s">
        <v>5</v>
      </c>
      <c r="B7" t="s">
        <v>6</v>
      </c>
    </row>
    <row r="9" spans="1:2" x14ac:dyDescent="0.3">
      <c r="A9" s="1" t="s">
        <v>7</v>
      </c>
      <c r="B9" t="s">
        <v>8</v>
      </c>
    </row>
    <row r="11" spans="1:2" x14ac:dyDescent="0.3">
      <c r="A11" s="1" t="s">
        <v>9</v>
      </c>
      <c r="B11" t="s">
        <v>10</v>
      </c>
    </row>
    <row r="13" spans="1:2" x14ac:dyDescent="0.3">
      <c r="A13" s="1" t="s">
        <v>11</v>
      </c>
      <c r="B13" t="s">
        <v>12</v>
      </c>
    </row>
    <row r="15" spans="1:2" x14ac:dyDescent="0.3">
      <c r="A15" s="1" t="s">
        <v>64</v>
      </c>
      <c r="B15" t="s">
        <v>63</v>
      </c>
    </row>
    <row r="17" spans="1:2" x14ac:dyDescent="0.3">
      <c r="A17" s="1" t="s">
        <v>68</v>
      </c>
      <c r="B17" t="s">
        <v>69</v>
      </c>
    </row>
    <row r="19" spans="1:2" x14ac:dyDescent="0.3">
      <c r="A19" s="1" t="s">
        <v>75</v>
      </c>
      <c r="B19" t="s">
        <v>74</v>
      </c>
    </row>
    <row r="21" spans="1:2" x14ac:dyDescent="0.3">
      <c r="A21" s="1" t="s">
        <v>105</v>
      </c>
      <c r="B21" t="s">
        <v>103</v>
      </c>
    </row>
    <row r="23" spans="1:2" x14ac:dyDescent="0.3">
      <c r="A23" s="1" t="s">
        <v>104</v>
      </c>
      <c r="B23" t="s">
        <v>108</v>
      </c>
    </row>
  </sheetData>
  <hyperlinks>
    <hyperlink ref="A3" r:id="rId1" xr:uid="{0F9B2035-76A2-43C5-B3F8-E453B67F34B2}"/>
    <hyperlink ref="A5" r:id="rId2" xr:uid="{7DF9B562-7506-4F5C-B939-2D2287D2A12C}"/>
    <hyperlink ref="A7" r:id="rId3" xr:uid="{DB195424-A6B9-42CC-9529-9ADD9DA75E7C}"/>
    <hyperlink ref="A13" r:id="rId4" xr:uid="{0D5CE089-FB03-4961-89D0-6E2F6D8C5F41}"/>
    <hyperlink ref="A11" r:id="rId5" xr:uid="{CD0CAA21-F18D-4DE8-A7FF-A9778C91B9AF}"/>
    <hyperlink ref="A9" r:id="rId6" xr:uid="{BF347848-2C42-4443-BC86-88498B512EE6}"/>
    <hyperlink ref="A15" r:id="rId7" xr:uid="{262303B7-B9B6-4365-811D-F6A8151644B3}"/>
    <hyperlink ref="A17" r:id="rId8" xr:uid="{5ACA1D7A-92EE-430D-B2B2-3D55697DAB39}"/>
    <hyperlink ref="A19" r:id="rId9" xr:uid="{9C4B5B28-3FF2-499D-87C4-EFD4CDCC3B3B}"/>
    <hyperlink ref="A23" r:id="rId10" xr:uid="{1A9C4E98-70CE-4C6F-9284-8BAB32A0B049}"/>
    <hyperlink ref="A21" r:id="rId11" xr:uid="{58D47D9D-A987-441E-85F8-F969FD28DE7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7765-EC18-48A8-97DC-ED4492E44F55}">
  <dimension ref="A1:S28"/>
  <sheetViews>
    <sheetView zoomScale="90" zoomScaleNormal="90" workbookViewId="0">
      <selection activeCell="F39" sqref="F39"/>
    </sheetView>
  </sheetViews>
  <sheetFormatPr defaultRowHeight="14.4" x14ac:dyDescent="0.3"/>
  <sheetData>
    <row r="1" spans="1:19" x14ac:dyDescent="0.3">
      <c r="A1" t="s">
        <v>13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27</v>
      </c>
      <c r="B2" t="s">
        <v>50</v>
      </c>
      <c r="C2" t="s">
        <v>49</v>
      </c>
      <c r="D2">
        <v>4.67</v>
      </c>
      <c r="E2">
        <v>4.34</v>
      </c>
      <c r="F2">
        <v>4.01</v>
      </c>
      <c r="G2">
        <v>3.95</v>
      </c>
      <c r="H2">
        <v>3.79</v>
      </c>
      <c r="I2">
        <v>3.89</v>
      </c>
      <c r="J2">
        <v>4.21</v>
      </c>
      <c r="K2">
        <v>4.28</v>
      </c>
      <c r="L2">
        <v>4.12</v>
      </c>
      <c r="M2">
        <v>3.79</v>
      </c>
      <c r="N2">
        <v>3.48</v>
      </c>
      <c r="O2">
        <v>3.41</v>
      </c>
      <c r="P2">
        <v>3.13</v>
      </c>
      <c r="Q2">
        <v>3.09</v>
      </c>
      <c r="R2">
        <v>4.95</v>
      </c>
      <c r="S2">
        <v>4.88</v>
      </c>
    </row>
    <row r="3" spans="1:19" x14ac:dyDescent="0.3">
      <c r="A3" t="s">
        <v>30</v>
      </c>
      <c r="B3" t="s">
        <v>50</v>
      </c>
      <c r="C3" t="s">
        <v>49</v>
      </c>
      <c r="D3">
        <v>6.21</v>
      </c>
      <c r="E3">
        <v>6.81</v>
      </c>
      <c r="F3">
        <v>8.98</v>
      </c>
      <c r="G3">
        <v>9.17</v>
      </c>
      <c r="H3">
        <v>5.64</v>
      </c>
      <c r="I3">
        <v>3.48</v>
      </c>
      <c r="J3">
        <v>3.88</v>
      </c>
      <c r="K3">
        <v>2.93</v>
      </c>
      <c r="L3">
        <v>3.56</v>
      </c>
      <c r="M3">
        <v>4.8</v>
      </c>
      <c r="N3">
        <v>4.91</v>
      </c>
      <c r="O3">
        <v>4.47</v>
      </c>
      <c r="P3">
        <v>2.2999999999999998</v>
      </c>
      <c r="Q3">
        <v>1.91</v>
      </c>
      <c r="R3">
        <v>2.1</v>
      </c>
      <c r="S3">
        <v>1.66</v>
      </c>
    </row>
    <row r="4" spans="1:19" x14ac:dyDescent="0.3">
      <c r="A4" t="s">
        <v>23</v>
      </c>
      <c r="B4" t="s">
        <v>50</v>
      </c>
      <c r="C4" t="s">
        <v>49</v>
      </c>
      <c r="D4">
        <v>15.58</v>
      </c>
      <c r="E4">
        <v>14.88</v>
      </c>
      <c r="F4">
        <v>10.73</v>
      </c>
      <c r="G4">
        <v>6.36</v>
      </c>
      <c r="H4">
        <v>4.92</v>
      </c>
      <c r="I4">
        <v>3.98</v>
      </c>
      <c r="J4">
        <v>2.31</v>
      </c>
      <c r="K4">
        <v>2.62</v>
      </c>
      <c r="L4">
        <v>2.46</v>
      </c>
      <c r="M4">
        <v>2.69</v>
      </c>
      <c r="N4">
        <v>2.69</v>
      </c>
      <c r="O4">
        <v>2.6</v>
      </c>
      <c r="P4">
        <v>2.58</v>
      </c>
      <c r="Q4">
        <v>2.5</v>
      </c>
      <c r="R4">
        <v>2.56</v>
      </c>
      <c r="S4">
        <v>2.6</v>
      </c>
    </row>
    <row r="5" spans="1:19" x14ac:dyDescent="0.3">
      <c r="A5" t="s">
        <v>40</v>
      </c>
      <c r="B5" t="s">
        <v>50</v>
      </c>
      <c r="C5" t="s">
        <v>49</v>
      </c>
      <c r="D5">
        <v>1.92</v>
      </c>
      <c r="E5">
        <v>2.17</v>
      </c>
      <c r="F5">
        <v>3.02</v>
      </c>
      <c r="G5">
        <v>2.4700000000000002</v>
      </c>
      <c r="H5">
        <v>2.13</v>
      </c>
      <c r="I5">
        <v>1.96</v>
      </c>
      <c r="J5">
        <v>2.35</v>
      </c>
      <c r="K5">
        <v>2.52</v>
      </c>
      <c r="L5">
        <v>2.9</v>
      </c>
      <c r="M5">
        <v>2.85</v>
      </c>
      <c r="N5">
        <v>2.75</v>
      </c>
      <c r="O5">
        <v>3.25</v>
      </c>
      <c r="P5">
        <v>3.21</v>
      </c>
      <c r="Q5">
        <v>3.42</v>
      </c>
      <c r="R5">
        <v>3.29</v>
      </c>
      <c r="S5">
        <v>3.31</v>
      </c>
    </row>
    <row r="6" spans="1:19" x14ac:dyDescent="0.3">
      <c r="A6" t="s">
        <v>34</v>
      </c>
      <c r="B6" t="s">
        <v>50</v>
      </c>
      <c r="C6" t="s">
        <v>49</v>
      </c>
      <c r="D6">
        <v>2.64</v>
      </c>
      <c r="E6">
        <v>2.44</v>
      </c>
      <c r="F6">
        <v>2.19</v>
      </c>
      <c r="G6">
        <v>2.2000000000000002</v>
      </c>
      <c r="H6">
        <v>1.61</v>
      </c>
      <c r="I6">
        <v>1.27</v>
      </c>
      <c r="J6">
        <v>1.07</v>
      </c>
      <c r="K6">
        <v>1.1399999999999999</v>
      </c>
      <c r="L6">
        <v>1.25</v>
      </c>
      <c r="M6">
        <v>1.37</v>
      </c>
      <c r="N6">
        <v>1.52</v>
      </c>
      <c r="O6">
        <v>1.45</v>
      </c>
      <c r="P6">
        <v>1.63</v>
      </c>
      <c r="Q6">
        <v>1.72</v>
      </c>
      <c r="R6">
        <v>1.59</v>
      </c>
      <c r="S6">
        <v>1.37</v>
      </c>
    </row>
    <row r="7" spans="1:19" x14ac:dyDescent="0.3">
      <c r="A7" t="s">
        <v>37</v>
      </c>
      <c r="B7" t="s">
        <v>50</v>
      </c>
      <c r="C7" t="s">
        <v>49</v>
      </c>
      <c r="D7">
        <v>2.23</v>
      </c>
      <c r="E7">
        <v>1.94</v>
      </c>
      <c r="F7">
        <v>2.02</v>
      </c>
      <c r="G7">
        <v>2.15</v>
      </c>
      <c r="H7">
        <v>2.1</v>
      </c>
      <c r="I7">
        <v>1.86</v>
      </c>
      <c r="J7">
        <v>1.75</v>
      </c>
      <c r="K7">
        <v>1.67</v>
      </c>
      <c r="L7">
        <v>1.9</v>
      </c>
      <c r="M7">
        <v>1.86</v>
      </c>
      <c r="N7">
        <v>1.89</v>
      </c>
      <c r="O7">
        <v>1.99</v>
      </c>
      <c r="P7">
        <v>1.97</v>
      </c>
      <c r="Q7">
        <v>2.2000000000000002</v>
      </c>
      <c r="R7">
        <v>2.0099999999999998</v>
      </c>
      <c r="S7">
        <v>1.99</v>
      </c>
    </row>
    <row r="8" spans="1:19" x14ac:dyDescent="0.3">
      <c r="A8" t="s">
        <v>33</v>
      </c>
      <c r="B8" t="s">
        <v>50</v>
      </c>
      <c r="C8" t="s">
        <v>49</v>
      </c>
      <c r="D8">
        <v>7.84</v>
      </c>
      <c r="E8">
        <v>6.93</v>
      </c>
      <c r="F8">
        <v>4.41</v>
      </c>
      <c r="G8">
        <v>4.01</v>
      </c>
      <c r="H8">
        <v>3.91</v>
      </c>
      <c r="I8">
        <v>3.44</v>
      </c>
      <c r="J8">
        <v>2.72</v>
      </c>
      <c r="K8">
        <v>2.29</v>
      </c>
      <c r="L8">
        <v>2.4500000000000002</v>
      </c>
      <c r="M8">
        <v>3.32</v>
      </c>
      <c r="N8">
        <v>3.22</v>
      </c>
      <c r="O8">
        <v>3.03</v>
      </c>
      <c r="P8">
        <v>3.4</v>
      </c>
      <c r="Q8">
        <v>3.7</v>
      </c>
      <c r="R8">
        <v>3.51</v>
      </c>
      <c r="S8">
        <v>3.28</v>
      </c>
    </row>
    <row r="9" spans="1:19" x14ac:dyDescent="0.3">
      <c r="A9" t="s">
        <v>21</v>
      </c>
      <c r="B9" t="s">
        <v>50</v>
      </c>
      <c r="C9" t="s">
        <v>49</v>
      </c>
      <c r="D9">
        <v>3.88</v>
      </c>
      <c r="E9">
        <v>3.02</v>
      </c>
      <c r="F9">
        <v>2.4900000000000002</v>
      </c>
      <c r="G9">
        <v>2.71</v>
      </c>
      <c r="H9">
        <v>2.4</v>
      </c>
      <c r="I9">
        <v>2.27</v>
      </c>
      <c r="J9">
        <v>2.4300000000000002</v>
      </c>
      <c r="K9">
        <v>2.94</v>
      </c>
      <c r="L9">
        <v>3.95</v>
      </c>
      <c r="M9">
        <v>3.86</v>
      </c>
      <c r="N9">
        <v>4.08</v>
      </c>
      <c r="O9">
        <v>3.48</v>
      </c>
      <c r="P9">
        <v>3.44</v>
      </c>
      <c r="Q9">
        <v>3.92</v>
      </c>
      <c r="R9">
        <v>3.43</v>
      </c>
      <c r="S9">
        <v>3.2</v>
      </c>
    </row>
    <row r="10" spans="1:19" x14ac:dyDescent="0.3">
      <c r="A10" t="s">
        <v>19</v>
      </c>
      <c r="B10" t="s">
        <v>50</v>
      </c>
      <c r="C10" t="s">
        <v>49</v>
      </c>
      <c r="D10">
        <v>2.83</v>
      </c>
      <c r="E10">
        <v>2.69</v>
      </c>
      <c r="F10">
        <v>2.6</v>
      </c>
      <c r="G10">
        <v>2.1</v>
      </c>
      <c r="H10">
        <v>1.55</v>
      </c>
      <c r="I10">
        <v>1.89</v>
      </c>
      <c r="J10">
        <v>2.5499999999999998</v>
      </c>
      <c r="K10">
        <v>2.0099999999999998</v>
      </c>
      <c r="L10">
        <v>2.4500000000000002</v>
      </c>
      <c r="M10">
        <v>2.7</v>
      </c>
      <c r="N10">
        <v>2.52</v>
      </c>
      <c r="O10">
        <v>2.33</v>
      </c>
      <c r="P10">
        <v>2.33</v>
      </c>
      <c r="Q10">
        <v>2.46</v>
      </c>
      <c r="R10">
        <v>2.14</v>
      </c>
      <c r="S10">
        <v>1.6</v>
      </c>
    </row>
    <row r="11" spans="1:19" x14ac:dyDescent="0.3">
      <c r="A11" t="s">
        <v>28</v>
      </c>
      <c r="B11" t="s">
        <v>50</v>
      </c>
      <c r="C11" t="s">
        <v>49</v>
      </c>
      <c r="D11">
        <v>22.52</v>
      </c>
      <c r="E11">
        <v>22.66</v>
      </c>
      <c r="F11">
        <v>26</v>
      </c>
      <c r="G11">
        <v>25.59</v>
      </c>
      <c r="H11">
        <v>21.58</v>
      </c>
      <c r="I11">
        <v>17.45</v>
      </c>
      <c r="J11">
        <v>14.77</v>
      </c>
      <c r="K11">
        <v>11.92</v>
      </c>
      <c r="L11">
        <v>11.62</v>
      </c>
      <c r="M11">
        <v>11.38</v>
      </c>
      <c r="N11">
        <v>11.42</v>
      </c>
      <c r="O11">
        <v>11.34</v>
      </c>
      <c r="P11">
        <v>12.82</v>
      </c>
      <c r="Q11">
        <v>13.09</v>
      </c>
      <c r="R11">
        <v>12.29</v>
      </c>
      <c r="S11">
        <v>10.33</v>
      </c>
    </row>
    <row r="12" spans="1:19" x14ac:dyDescent="0.3">
      <c r="A12" t="s">
        <v>32</v>
      </c>
      <c r="B12" t="s">
        <v>50</v>
      </c>
      <c r="C12" t="s">
        <v>49</v>
      </c>
      <c r="D12">
        <v>2.39</v>
      </c>
      <c r="E12">
        <v>2.21</v>
      </c>
      <c r="F12">
        <v>2.09</v>
      </c>
      <c r="G12">
        <v>1.99</v>
      </c>
      <c r="H12">
        <v>1.97</v>
      </c>
      <c r="I12">
        <v>1.65</v>
      </c>
      <c r="J12">
        <v>1.36</v>
      </c>
      <c r="K12">
        <v>2.41</v>
      </c>
      <c r="L12">
        <v>3.07</v>
      </c>
      <c r="M12">
        <v>3.49</v>
      </c>
      <c r="N12">
        <v>2.78</v>
      </c>
      <c r="O12">
        <v>3.11</v>
      </c>
      <c r="P12">
        <v>3.11</v>
      </c>
      <c r="Q12">
        <v>3.51</v>
      </c>
      <c r="R12">
        <v>3.04</v>
      </c>
      <c r="S12">
        <v>2.82</v>
      </c>
    </row>
    <row r="13" spans="1:19" x14ac:dyDescent="0.3">
      <c r="A13" t="s">
        <v>14</v>
      </c>
      <c r="B13" t="s">
        <v>50</v>
      </c>
      <c r="C13" t="s">
        <v>49</v>
      </c>
      <c r="D13">
        <v>4.84</v>
      </c>
      <c r="E13">
        <v>4.26</v>
      </c>
      <c r="F13">
        <v>4.26</v>
      </c>
      <c r="G13">
        <v>4.41</v>
      </c>
      <c r="H13">
        <v>4.2300000000000004</v>
      </c>
      <c r="I13">
        <v>4.07</v>
      </c>
      <c r="J13">
        <v>3.96</v>
      </c>
      <c r="K13">
        <v>3.86</v>
      </c>
      <c r="L13">
        <v>4.0199999999999996</v>
      </c>
      <c r="M13">
        <v>3.98</v>
      </c>
      <c r="N13">
        <v>3.93</v>
      </c>
      <c r="O13">
        <v>3.96</v>
      </c>
      <c r="P13">
        <v>3.79</v>
      </c>
      <c r="Q13">
        <v>3.77</v>
      </c>
      <c r="R13">
        <v>3.64</v>
      </c>
      <c r="S13">
        <v>3.65</v>
      </c>
    </row>
    <row r="14" spans="1:19" x14ac:dyDescent="0.3">
      <c r="A14" t="s">
        <v>38</v>
      </c>
      <c r="B14" t="s">
        <v>50</v>
      </c>
      <c r="C14" t="s">
        <v>49</v>
      </c>
      <c r="D14">
        <v>3.42</v>
      </c>
      <c r="E14">
        <v>4.6100000000000003</v>
      </c>
      <c r="F14">
        <v>5.64</v>
      </c>
      <c r="G14">
        <v>5.77</v>
      </c>
      <c r="H14">
        <v>5.39</v>
      </c>
      <c r="I14">
        <v>6.14</v>
      </c>
      <c r="J14">
        <v>7.67</v>
      </c>
      <c r="K14">
        <v>9.67</v>
      </c>
      <c r="L14">
        <v>11.36</v>
      </c>
      <c r="M14">
        <v>10.47</v>
      </c>
      <c r="N14">
        <v>9.23</v>
      </c>
      <c r="O14">
        <v>8.44</v>
      </c>
      <c r="P14">
        <v>8.94</v>
      </c>
      <c r="Q14">
        <v>10.94</v>
      </c>
      <c r="R14">
        <v>8.89</v>
      </c>
      <c r="S14">
        <v>7.28</v>
      </c>
    </row>
    <row r="15" spans="1:19" x14ac:dyDescent="0.3">
      <c r="A15" t="s">
        <v>22</v>
      </c>
      <c r="B15" t="s">
        <v>50</v>
      </c>
      <c r="C15" t="s">
        <v>49</v>
      </c>
      <c r="D15">
        <v>14.18</v>
      </c>
      <c r="E15">
        <v>11.57</v>
      </c>
      <c r="F15">
        <v>12.36</v>
      </c>
      <c r="G15">
        <v>12.46</v>
      </c>
      <c r="H15">
        <v>11.31</v>
      </c>
      <c r="I15">
        <v>10.53</v>
      </c>
      <c r="J15">
        <v>10.27</v>
      </c>
      <c r="K15">
        <v>10.74</v>
      </c>
      <c r="L15">
        <v>10.65</v>
      </c>
      <c r="M15">
        <v>10.74</v>
      </c>
      <c r="N15">
        <v>10.49</v>
      </c>
      <c r="O15">
        <v>10.18</v>
      </c>
      <c r="P15">
        <v>10.27</v>
      </c>
      <c r="Q15">
        <v>11.11</v>
      </c>
      <c r="R15">
        <v>9.94</v>
      </c>
      <c r="S15">
        <v>7.49</v>
      </c>
    </row>
    <row r="16" spans="1:19" x14ac:dyDescent="0.3">
      <c r="A16" t="s">
        <v>25</v>
      </c>
      <c r="B16" t="s">
        <v>50</v>
      </c>
      <c r="C16" t="s">
        <v>49</v>
      </c>
      <c r="D16">
        <v>2.34</v>
      </c>
      <c r="E16">
        <v>4.49</v>
      </c>
      <c r="F16">
        <v>7.21</v>
      </c>
      <c r="G16">
        <v>8.39</v>
      </c>
      <c r="H16">
        <v>7.82</v>
      </c>
      <c r="I16">
        <v>4.99</v>
      </c>
      <c r="J16">
        <v>3.97</v>
      </c>
      <c r="K16">
        <v>3.83</v>
      </c>
      <c r="L16">
        <v>3.66</v>
      </c>
      <c r="M16">
        <v>3.38</v>
      </c>
      <c r="N16">
        <v>2.99</v>
      </c>
      <c r="O16">
        <v>2.92</v>
      </c>
      <c r="P16">
        <v>3.2</v>
      </c>
      <c r="Q16">
        <v>3.34</v>
      </c>
      <c r="R16">
        <v>3.04</v>
      </c>
      <c r="S16">
        <v>2.83</v>
      </c>
    </row>
    <row r="17" spans="1:19" x14ac:dyDescent="0.3">
      <c r="A17" t="s">
        <v>29</v>
      </c>
      <c r="B17" t="s">
        <v>50</v>
      </c>
      <c r="C17" t="s">
        <v>49</v>
      </c>
      <c r="D17">
        <v>5.68</v>
      </c>
      <c r="E17">
        <v>6.98</v>
      </c>
      <c r="F17">
        <v>9.42</v>
      </c>
      <c r="G17">
        <v>9.6300000000000008</v>
      </c>
      <c r="H17">
        <v>7.04</v>
      </c>
      <c r="I17">
        <v>7.04</v>
      </c>
      <c r="J17">
        <v>6.74</v>
      </c>
      <c r="K17">
        <v>7.74</v>
      </c>
      <c r="L17">
        <v>8.1199999999999992</v>
      </c>
      <c r="M17">
        <v>7.14</v>
      </c>
      <c r="N17">
        <v>6.92</v>
      </c>
      <c r="O17">
        <v>6.91</v>
      </c>
      <c r="P17">
        <v>6.55</v>
      </c>
      <c r="Q17">
        <v>7.22</v>
      </c>
      <c r="R17">
        <v>6.78</v>
      </c>
      <c r="S17">
        <v>6.47</v>
      </c>
    </row>
    <row r="18" spans="1:19" x14ac:dyDescent="0.3">
      <c r="A18" t="s">
        <v>41</v>
      </c>
      <c r="B18" t="s">
        <v>50</v>
      </c>
      <c r="C18" t="s">
        <v>49</v>
      </c>
      <c r="D18">
        <v>5.89</v>
      </c>
      <c r="E18">
        <v>5.42</v>
      </c>
      <c r="F18">
        <v>5.16</v>
      </c>
      <c r="G18">
        <v>5.28</v>
      </c>
      <c r="H18">
        <v>4.6399999999999997</v>
      </c>
      <c r="I18">
        <v>4.51</v>
      </c>
      <c r="J18">
        <v>4.33</v>
      </c>
      <c r="K18">
        <v>4.5199999999999996</v>
      </c>
      <c r="L18">
        <v>4.6500000000000004</v>
      </c>
      <c r="M18">
        <v>4.71</v>
      </c>
      <c r="N18">
        <v>4.96</v>
      </c>
      <c r="O18">
        <v>4.96</v>
      </c>
      <c r="P18">
        <v>4.9000000000000004</v>
      </c>
      <c r="Q18">
        <v>5.17</v>
      </c>
      <c r="R18">
        <v>5.12</v>
      </c>
      <c r="S18">
        <v>4.7699999999999996</v>
      </c>
    </row>
    <row r="19" spans="1:19" x14ac:dyDescent="0.3">
      <c r="A19" t="s">
        <v>24</v>
      </c>
      <c r="B19" t="s">
        <v>50</v>
      </c>
      <c r="C19" t="s">
        <v>49</v>
      </c>
      <c r="D19">
        <v>13.9</v>
      </c>
      <c r="E19">
        <v>14.11</v>
      </c>
      <c r="F19">
        <v>14.44</v>
      </c>
      <c r="G19">
        <v>15.01</v>
      </c>
      <c r="H19">
        <v>15.33</v>
      </c>
      <c r="I19">
        <v>14.53</v>
      </c>
      <c r="J19">
        <v>13.11</v>
      </c>
      <c r="K19">
        <v>13.42</v>
      </c>
      <c r="L19">
        <v>13.54</v>
      </c>
      <c r="M19">
        <v>12.72</v>
      </c>
      <c r="N19">
        <v>13.33</v>
      </c>
      <c r="O19">
        <v>15.1</v>
      </c>
      <c r="P19">
        <v>16.170000000000002</v>
      </c>
      <c r="Q19">
        <v>17.96</v>
      </c>
      <c r="R19">
        <v>15.55</v>
      </c>
      <c r="S19">
        <v>16.100000000000001</v>
      </c>
    </row>
    <row r="20" spans="1:19" x14ac:dyDescent="0.3">
      <c r="A20" t="s">
        <v>42</v>
      </c>
      <c r="B20" t="s">
        <v>50</v>
      </c>
      <c r="C20" t="s">
        <v>49</v>
      </c>
      <c r="D20">
        <v>14.57</v>
      </c>
      <c r="E20">
        <v>16.84</v>
      </c>
      <c r="F20">
        <v>20.83</v>
      </c>
      <c r="G20">
        <v>19.05</v>
      </c>
      <c r="H20">
        <v>16.079999999999998</v>
      </c>
      <c r="I20">
        <v>16.7</v>
      </c>
      <c r="J20">
        <v>17.579999999999998</v>
      </c>
      <c r="K20">
        <v>17.670000000000002</v>
      </c>
      <c r="L20">
        <v>16.670000000000002</v>
      </c>
      <c r="M20">
        <v>16.55</v>
      </c>
      <c r="N20">
        <v>16.55</v>
      </c>
      <c r="O20">
        <v>14.32</v>
      </c>
      <c r="P20">
        <v>13.28</v>
      </c>
      <c r="Q20">
        <v>12.92</v>
      </c>
      <c r="R20">
        <v>12.01</v>
      </c>
      <c r="S20">
        <v>10.48</v>
      </c>
    </row>
    <row r="21" spans="1:19" x14ac:dyDescent="0.3">
      <c r="A21" t="s">
        <v>17</v>
      </c>
      <c r="B21" t="s">
        <v>50</v>
      </c>
      <c r="C21" t="s">
        <v>49</v>
      </c>
      <c r="D21">
        <v>1.45</v>
      </c>
      <c r="E21">
        <v>2.11</v>
      </c>
      <c r="F21">
        <v>2.3199999999999998</v>
      </c>
      <c r="G21">
        <v>2.1800000000000002</v>
      </c>
      <c r="H21">
        <v>1.92</v>
      </c>
      <c r="I21">
        <v>1.79</v>
      </c>
      <c r="J21">
        <v>1.67</v>
      </c>
      <c r="K21">
        <v>1.88</v>
      </c>
      <c r="L21">
        <v>2.02</v>
      </c>
      <c r="M21">
        <v>1.81</v>
      </c>
      <c r="N21">
        <v>1.83</v>
      </c>
      <c r="O21">
        <v>1.63</v>
      </c>
      <c r="P21">
        <v>1.79</v>
      </c>
      <c r="Q21">
        <v>1.81</v>
      </c>
      <c r="R21">
        <v>2.52</v>
      </c>
      <c r="S21">
        <v>2.17</v>
      </c>
    </row>
    <row r="22" spans="1:19" x14ac:dyDescent="0.3">
      <c r="A22" t="s">
        <v>26</v>
      </c>
      <c r="B22" t="s">
        <v>50</v>
      </c>
      <c r="C22" t="s">
        <v>49</v>
      </c>
      <c r="D22">
        <v>4.67</v>
      </c>
      <c r="E22">
        <v>3.03</v>
      </c>
      <c r="F22">
        <v>3.21</v>
      </c>
      <c r="G22">
        <v>2.87</v>
      </c>
      <c r="H22">
        <v>2.87</v>
      </c>
      <c r="I22">
        <v>2.78</v>
      </c>
      <c r="J22">
        <v>2</v>
      </c>
      <c r="K22">
        <v>2</v>
      </c>
      <c r="L22">
        <v>2.29</v>
      </c>
      <c r="M22">
        <v>2.4900000000000002</v>
      </c>
      <c r="N22">
        <v>2.58</v>
      </c>
      <c r="O22">
        <v>2.4</v>
      </c>
      <c r="P22">
        <v>2.21</v>
      </c>
      <c r="Q22">
        <v>1.74</v>
      </c>
      <c r="R22">
        <v>1.68</v>
      </c>
      <c r="S22">
        <v>1.24</v>
      </c>
    </row>
    <row r="23" spans="1:19" x14ac:dyDescent="0.3">
      <c r="A23" t="s">
        <v>20</v>
      </c>
      <c r="B23" t="s">
        <v>50</v>
      </c>
      <c r="C23" t="s">
        <v>49</v>
      </c>
      <c r="D23">
        <v>8.6</v>
      </c>
      <c r="E23">
        <v>8.61</v>
      </c>
      <c r="F23">
        <v>8.99</v>
      </c>
      <c r="G23">
        <v>9.7200000000000006</v>
      </c>
      <c r="H23">
        <v>9.17</v>
      </c>
      <c r="I23">
        <v>7.19</v>
      </c>
      <c r="J23">
        <v>6.73</v>
      </c>
      <c r="K23">
        <v>6.91</v>
      </c>
      <c r="L23">
        <v>6.92</v>
      </c>
      <c r="M23">
        <v>6.79</v>
      </c>
      <c r="N23">
        <v>6.07</v>
      </c>
      <c r="O23">
        <v>5.78</v>
      </c>
      <c r="P23">
        <v>6.15</v>
      </c>
      <c r="Q23">
        <v>6.58</v>
      </c>
      <c r="R23">
        <v>5.93</v>
      </c>
      <c r="S23">
        <v>5.27</v>
      </c>
    </row>
    <row r="24" spans="1:19" x14ac:dyDescent="0.3">
      <c r="A24" t="s">
        <v>36</v>
      </c>
      <c r="B24" t="s">
        <v>50</v>
      </c>
      <c r="C24" t="s">
        <v>49</v>
      </c>
      <c r="D24">
        <v>6.21</v>
      </c>
      <c r="E24">
        <v>5.39</v>
      </c>
      <c r="F24">
        <v>4.7</v>
      </c>
      <c r="G24">
        <v>7.95</v>
      </c>
      <c r="H24">
        <v>11.47</v>
      </c>
      <c r="I24">
        <v>10.9</v>
      </c>
      <c r="J24">
        <v>11.61</v>
      </c>
      <c r="K24">
        <v>12.8</v>
      </c>
      <c r="L24">
        <v>11.91</v>
      </c>
      <c r="M24">
        <v>12.53</v>
      </c>
      <c r="N24">
        <v>9.2799999999999994</v>
      </c>
      <c r="O24">
        <v>8.51</v>
      </c>
      <c r="P24">
        <v>7.59</v>
      </c>
      <c r="Q24">
        <v>9.59</v>
      </c>
      <c r="R24">
        <v>9.8000000000000007</v>
      </c>
      <c r="S24">
        <v>7.28</v>
      </c>
    </row>
    <row r="25" spans="1:19" x14ac:dyDescent="0.3">
      <c r="A25" t="s">
        <v>35</v>
      </c>
      <c r="B25" t="s">
        <v>50</v>
      </c>
      <c r="C25" t="s">
        <v>49</v>
      </c>
      <c r="D25">
        <v>2.7</v>
      </c>
      <c r="E25">
        <v>2.58</v>
      </c>
      <c r="F25">
        <v>2.5</v>
      </c>
      <c r="G25">
        <v>2.0299999999999998</v>
      </c>
      <c r="H25">
        <v>1.72</v>
      </c>
      <c r="I25">
        <v>1.73</v>
      </c>
      <c r="J25">
        <v>1.69</v>
      </c>
      <c r="K25">
        <v>1.74</v>
      </c>
      <c r="L25">
        <v>2.1800000000000002</v>
      </c>
      <c r="M25">
        <v>2.02</v>
      </c>
      <c r="N25">
        <v>1.95</v>
      </c>
      <c r="O25">
        <v>1.77</v>
      </c>
      <c r="P25">
        <v>2.17</v>
      </c>
      <c r="Q25">
        <v>2.3199999999999998</v>
      </c>
      <c r="R25">
        <v>1.85</v>
      </c>
      <c r="S25">
        <v>1.64</v>
      </c>
    </row>
    <row r="26" spans="1:19" x14ac:dyDescent="0.3">
      <c r="A26" t="s">
        <v>31</v>
      </c>
      <c r="B26" t="s">
        <v>50</v>
      </c>
      <c r="C26" t="s">
        <v>49</v>
      </c>
      <c r="D26">
        <v>4.6500000000000004</v>
      </c>
      <c r="E26">
        <v>3.37</v>
      </c>
      <c r="F26">
        <v>3.39</v>
      </c>
      <c r="G26">
        <v>3.65</v>
      </c>
      <c r="H26">
        <v>3.4</v>
      </c>
      <c r="I26">
        <v>3.28</v>
      </c>
      <c r="J26">
        <v>3.23</v>
      </c>
      <c r="K26">
        <v>3.59</v>
      </c>
      <c r="L26">
        <v>3.66</v>
      </c>
      <c r="M26">
        <v>3.67</v>
      </c>
      <c r="N26">
        <v>3.88</v>
      </c>
      <c r="O26">
        <v>3.72</v>
      </c>
      <c r="P26">
        <v>3.66</v>
      </c>
      <c r="Q26">
        <v>3.95</v>
      </c>
      <c r="R26">
        <v>3.94</v>
      </c>
      <c r="S26">
        <v>3.71</v>
      </c>
    </row>
    <row r="27" spans="1:19" x14ac:dyDescent="0.3">
      <c r="A27" t="s">
        <v>18</v>
      </c>
      <c r="B27" t="s">
        <v>50</v>
      </c>
      <c r="C27" t="s">
        <v>49</v>
      </c>
      <c r="D27">
        <v>18.36</v>
      </c>
      <c r="E27">
        <v>15.35</v>
      </c>
      <c r="F27">
        <v>10.71</v>
      </c>
      <c r="G27">
        <v>6.89</v>
      </c>
      <c r="H27">
        <v>5.65</v>
      </c>
      <c r="I27">
        <v>5.54</v>
      </c>
      <c r="J27">
        <v>5.69</v>
      </c>
      <c r="K27">
        <v>5.56</v>
      </c>
      <c r="L27">
        <v>6</v>
      </c>
      <c r="M27">
        <v>8.92</v>
      </c>
      <c r="N27">
        <v>7.87</v>
      </c>
      <c r="O27">
        <v>6.76</v>
      </c>
      <c r="P27">
        <v>8.8000000000000007</v>
      </c>
      <c r="Q27">
        <v>8.42</v>
      </c>
      <c r="R27">
        <v>9.14</v>
      </c>
      <c r="S27">
        <v>8.59</v>
      </c>
    </row>
    <row r="28" spans="1:19" x14ac:dyDescent="0.3">
      <c r="A28" t="s">
        <v>39</v>
      </c>
      <c r="B28" t="s">
        <v>50</v>
      </c>
      <c r="C28" t="s">
        <v>49</v>
      </c>
      <c r="D28">
        <v>46.22</v>
      </c>
      <c r="E28">
        <v>43.19</v>
      </c>
      <c r="F28">
        <v>42.31</v>
      </c>
      <c r="G28">
        <v>30.87</v>
      </c>
      <c r="H28">
        <v>22.89</v>
      </c>
      <c r="I28">
        <v>20.2</v>
      </c>
      <c r="J28">
        <v>18.8</v>
      </c>
      <c r="K28">
        <v>15.17</v>
      </c>
      <c r="L28">
        <v>14.9</v>
      </c>
      <c r="M28">
        <v>13.22</v>
      </c>
      <c r="N28">
        <v>13.3</v>
      </c>
      <c r="O28">
        <v>15.69</v>
      </c>
      <c r="P28">
        <v>13.59</v>
      </c>
      <c r="Q28">
        <v>19.66</v>
      </c>
      <c r="R28">
        <v>16.16</v>
      </c>
      <c r="S28">
        <v>25.7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35B3-6863-4AD5-8AFB-BF823B8D4DE7}">
  <dimension ref="A1:S50"/>
  <sheetViews>
    <sheetView workbookViewId="0">
      <selection activeCell="D10" sqref="D10:S10"/>
    </sheetView>
  </sheetViews>
  <sheetFormatPr defaultRowHeight="14.4" x14ac:dyDescent="0.3"/>
  <sheetData>
    <row r="1" spans="1:19" x14ac:dyDescent="0.3">
      <c r="A1" t="s">
        <v>13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27</v>
      </c>
      <c r="B2" t="s">
        <v>51</v>
      </c>
      <c r="C2" t="s">
        <v>52</v>
      </c>
      <c r="D2" s="2">
        <v>69.37</v>
      </c>
      <c r="E2" s="2">
        <v>72.87</v>
      </c>
      <c r="F2" s="2">
        <v>73.45</v>
      </c>
      <c r="G2" s="2">
        <v>75.17</v>
      </c>
      <c r="H2" s="2">
        <v>78.739999999999995</v>
      </c>
      <c r="I2" s="2">
        <v>80.03</v>
      </c>
      <c r="J2" s="2">
        <v>80.618799999999993</v>
      </c>
      <c r="K2" s="2">
        <v>80.995800000000003</v>
      </c>
      <c r="L2" s="2">
        <v>83.940100000000001</v>
      </c>
      <c r="M2" s="2">
        <v>84.323700000000002</v>
      </c>
      <c r="N2" s="2">
        <v>87.935599999999994</v>
      </c>
      <c r="O2" s="2">
        <v>87.479100000000003</v>
      </c>
      <c r="P2" s="2">
        <v>87.752200000000002</v>
      </c>
      <c r="Q2" s="2">
        <v>87.529399999999995</v>
      </c>
      <c r="R2" s="2">
        <v>92.529200000000003</v>
      </c>
      <c r="S2" s="2">
        <v>93.614099999999993</v>
      </c>
    </row>
    <row r="3" spans="1:19" x14ac:dyDescent="0.3">
      <c r="A3" t="s">
        <v>35</v>
      </c>
      <c r="B3" t="s">
        <v>51</v>
      </c>
      <c r="C3" t="s">
        <v>52</v>
      </c>
      <c r="D3" s="2">
        <v>66.760400000000004</v>
      </c>
      <c r="E3" s="2">
        <v>68.857299999999995</v>
      </c>
      <c r="F3" s="2">
        <v>74.5441</v>
      </c>
      <c r="G3" s="2">
        <v>77.639799999999994</v>
      </c>
      <c r="H3" s="2">
        <v>81.61</v>
      </c>
      <c r="I3" s="2">
        <v>80.72</v>
      </c>
      <c r="J3" s="2">
        <v>82.170199999999994</v>
      </c>
      <c r="K3" s="2">
        <v>85.001199999999997</v>
      </c>
      <c r="L3" s="2">
        <v>85.052899999999994</v>
      </c>
      <c r="M3" s="2">
        <v>86.516499999999994</v>
      </c>
      <c r="N3" s="2">
        <v>87.679699999999997</v>
      </c>
      <c r="O3" s="2">
        <v>88.647300000000001</v>
      </c>
      <c r="P3" s="2">
        <v>90.275400000000005</v>
      </c>
      <c r="Q3" s="2">
        <v>91.526399999999995</v>
      </c>
      <c r="R3" s="2">
        <v>92.788700000000006</v>
      </c>
      <c r="S3" s="2">
        <v>94.007800000000003</v>
      </c>
    </row>
    <row r="4" spans="1:19" x14ac:dyDescent="0.3">
      <c r="A4" t="s">
        <v>40</v>
      </c>
      <c r="B4" t="s">
        <v>51</v>
      </c>
      <c r="C4" t="s">
        <v>52</v>
      </c>
      <c r="D4" s="2">
        <v>33.64</v>
      </c>
      <c r="E4" s="2">
        <v>39.67</v>
      </c>
      <c r="F4" s="2">
        <v>45</v>
      </c>
      <c r="G4" s="2">
        <v>46.23</v>
      </c>
      <c r="H4" s="2">
        <v>47.98</v>
      </c>
      <c r="I4" s="2">
        <v>51.9</v>
      </c>
      <c r="J4" s="2">
        <v>53.061500000000002</v>
      </c>
      <c r="K4" s="2">
        <v>55.490400000000001</v>
      </c>
      <c r="L4" s="2">
        <v>56.656300000000002</v>
      </c>
      <c r="M4" s="2">
        <v>59.825499999999998</v>
      </c>
      <c r="N4" s="2">
        <v>63.4101</v>
      </c>
      <c r="O4" s="2">
        <v>64.781999999999996</v>
      </c>
      <c r="P4" s="2">
        <v>67.947000000000003</v>
      </c>
      <c r="Q4" s="2">
        <v>70.162499999999994</v>
      </c>
      <c r="R4" s="2">
        <v>75.2714</v>
      </c>
      <c r="S4" s="2">
        <v>79.126900000000006</v>
      </c>
    </row>
    <row r="5" spans="1:19" x14ac:dyDescent="0.3">
      <c r="A5" t="s">
        <v>24</v>
      </c>
      <c r="B5" t="s">
        <v>51</v>
      </c>
      <c r="C5" t="s">
        <v>52</v>
      </c>
      <c r="D5" s="2">
        <v>51.93</v>
      </c>
      <c r="E5" s="2">
        <v>62.97</v>
      </c>
      <c r="F5" s="2">
        <v>64.430000000000007</v>
      </c>
      <c r="G5" s="2">
        <v>68.819999999999993</v>
      </c>
      <c r="H5" s="2">
        <v>70.489999999999995</v>
      </c>
      <c r="I5" s="2">
        <v>73.430000000000007</v>
      </c>
      <c r="J5" s="2">
        <v>74.110399999999998</v>
      </c>
      <c r="K5" s="2">
        <v>74.231700000000004</v>
      </c>
      <c r="L5" s="2">
        <v>75.668800000000005</v>
      </c>
      <c r="M5" s="2">
        <v>76.481200000000001</v>
      </c>
      <c r="N5" s="2">
        <v>78.719200000000001</v>
      </c>
      <c r="O5" s="2">
        <v>80.688199999999995</v>
      </c>
      <c r="P5" s="2">
        <v>80.866900000000001</v>
      </c>
      <c r="Q5" s="2">
        <v>81.338899999999995</v>
      </c>
      <c r="R5" s="2">
        <v>82.670599999999993</v>
      </c>
      <c r="S5" s="2">
        <v>84.540099999999995</v>
      </c>
    </row>
    <row r="6" spans="1:19" x14ac:dyDescent="0.3">
      <c r="A6" t="s">
        <v>41</v>
      </c>
      <c r="B6" t="s">
        <v>51</v>
      </c>
      <c r="C6" t="s">
        <v>52</v>
      </c>
      <c r="D6" s="2">
        <v>75.16</v>
      </c>
      <c r="E6" s="2">
        <v>78</v>
      </c>
      <c r="F6" s="2">
        <v>79</v>
      </c>
      <c r="G6" s="2">
        <v>82</v>
      </c>
      <c r="H6" s="2">
        <v>81.27</v>
      </c>
      <c r="I6" s="2">
        <v>82.35</v>
      </c>
      <c r="J6" s="2">
        <v>84.17</v>
      </c>
      <c r="K6" s="2">
        <v>86.193700000000007</v>
      </c>
      <c r="L6" s="2">
        <v>87.589799999999997</v>
      </c>
      <c r="M6" s="2">
        <v>84.165199999999999</v>
      </c>
      <c r="N6" s="2">
        <v>84.394199999999998</v>
      </c>
      <c r="O6" s="2">
        <v>87.037099999999995</v>
      </c>
      <c r="P6" s="2">
        <v>88.134500000000003</v>
      </c>
      <c r="Q6" s="2">
        <v>89.812899999999999</v>
      </c>
      <c r="R6" s="2">
        <v>91.430599999999998</v>
      </c>
      <c r="S6" s="2">
        <v>91.629800000000003</v>
      </c>
    </row>
    <row r="7" spans="1:19" x14ac:dyDescent="0.3">
      <c r="A7" t="s">
        <v>31</v>
      </c>
      <c r="B7" t="s">
        <v>51</v>
      </c>
      <c r="C7" t="s">
        <v>52</v>
      </c>
      <c r="D7" s="2">
        <v>85.03</v>
      </c>
      <c r="E7" s="2">
        <v>85.02</v>
      </c>
      <c r="F7" s="2">
        <v>86.84</v>
      </c>
      <c r="G7" s="2">
        <v>88.72</v>
      </c>
      <c r="H7" s="2">
        <v>89.81</v>
      </c>
      <c r="I7" s="2">
        <v>92.26</v>
      </c>
      <c r="J7" s="2">
        <v>94.6297</v>
      </c>
      <c r="K7" s="2">
        <v>95.993499999999997</v>
      </c>
      <c r="L7" s="2">
        <v>96.330500000000001</v>
      </c>
      <c r="M7" s="2">
        <v>96.967799999999997</v>
      </c>
      <c r="N7" s="2">
        <v>97.099400000000003</v>
      </c>
      <c r="O7" s="2">
        <v>97.319199999999995</v>
      </c>
      <c r="P7" s="2">
        <v>98.046400000000006</v>
      </c>
      <c r="Q7" s="2">
        <v>96.549099999999996</v>
      </c>
      <c r="R7" s="2">
        <v>98.865899999999996</v>
      </c>
      <c r="S7" s="2">
        <v>97.860100000000003</v>
      </c>
    </row>
    <row r="8" spans="1:19" x14ac:dyDescent="0.3">
      <c r="A8" t="s">
        <v>34</v>
      </c>
      <c r="B8" t="s">
        <v>51</v>
      </c>
      <c r="C8" t="s">
        <v>52</v>
      </c>
      <c r="D8" s="2">
        <v>55.11</v>
      </c>
      <c r="E8" s="2">
        <v>59.6</v>
      </c>
      <c r="F8" s="2">
        <v>62.4</v>
      </c>
      <c r="G8" s="2">
        <v>65.8</v>
      </c>
      <c r="H8" s="2">
        <v>67.09</v>
      </c>
      <c r="I8" s="2">
        <v>69.81</v>
      </c>
      <c r="J8" s="2">
        <v>71.635000000000005</v>
      </c>
      <c r="K8" s="2">
        <v>76.186700000000002</v>
      </c>
      <c r="L8" s="2">
        <v>78.689599999999999</v>
      </c>
      <c r="M8" s="2">
        <v>80.561300000000003</v>
      </c>
      <c r="N8" s="2">
        <v>84.602199999999996</v>
      </c>
      <c r="O8" s="2">
        <v>86.107200000000006</v>
      </c>
      <c r="P8" s="2">
        <v>90.718699999999998</v>
      </c>
      <c r="Q8" s="2">
        <v>93.205600000000004</v>
      </c>
      <c r="R8" s="2">
        <v>93.897499999999994</v>
      </c>
      <c r="S8" s="2">
        <v>94.485500000000002</v>
      </c>
    </row>
    <row r="9" spans="1:19" x14ac:dyDescent="0.3">
      <c r="A9" t="s">
        <v>36</v>
      </c>
      <c r="B9" t="s">
        <v>51</v>
      </c>
      <c r="C9" t="s">
        <v>52</v>
      </c>
      <c r="D9" s="2">
        <v>66.19</v>
      </c>
      <c r="E9" s="2">
        <v>70.58</v>
      </c>
      <c r="F9" s="2">
        <v>72.5</v>
      </c>
      <c r="G9" s="2">
        <v>74.099999999999994</v>
      </c>
      <c r="H9" s="2">
        <v>76.5</v>
      </c>
      <c r="I9" s="2">
        <v>78.389899999999997</v>
      </c>
      <c r="J9" s="2">
        <v>80.004300000000001</v>
      </c>
      <c r="K9" s="2">
        <v>84.241500000000002</v>
      </c>
      <c r="L9" s="2">
        <v>88.409700000000001</v>
      </c>
      <c r="M9" s="2">
        <v>87.240200000000002</v>
      </c>
      <c r="N9" s="2">
        <v>88.102500000000006</v>
      </c>
      <c r="O9" s="2">
        <v>89.356999999999999</v>
      </c>
      <c r="P9" s="2">
        <v>90.228899999999996</v>
      </c>
      <c r="Q9" s="2">
        <v>89.058300000000003</v>
      </c>
      <c r="R9" s="2">
        <v>90.979699999999994</v>
      </c>
      <c r="S9" s="2">
        <v>91.520200000000003</v>
      </c>
    </row>
    <row r="10" spans="1:19" x14ac:dyDescent="0.3">
      <c r="A10" t="s">
        <v>23</v>
      </c>
      <c r="B10" t="s">
        <v>51</v>
      </c>
      <c r="C10" t="s">
        <v>52</v>
      </c>
      <c r="D10" s="2">
        <v>80.78</v>
      </c>
      <c r="E10" s="2">
        <v>83.67</v>
      </c>
      <c r="F10" s="2">
        <v>82.49</v>
      </c>
      <c r="G10" s="2">
        <v>86.89</v>
      </c>
      <c r="H10" s="2">
        <v>88.71</v>
      </c>
      <c r="I10" s="2">
        <v>89.88</v>
      </c>
      <c r="J10" s="2">
        <v>91.514399999999995</v>
      </c>
      <c r="K10" s="2">
        <v>86.5304</v>
      </c>
      <c r="L10" s="2">
        <v>86.4221</v>
      </c>
      <c r="M10" s="2">
        <v>87.703599999999994</v>
      </c>
      <c r="N10" s="2">
        <v>87.468900000000005</v>
      </c>
      <c r="O10" s="2">
        <v>88.89</v>
      </c>
      <c r="P10" s="2">
        <v>89.607399999999998</v>
      </c>
      <c r="Q10" s="2">
        <v>92.170299999999997</v>
      </c>
      <c r="R10" s="2">
        <v>92.808099999999996</v>
      </c>
      <c r="S10" s="2">
        <v>92.988799999999998</v>
      </c>
    </row>
    <row r="11" spans="1:19" x14ac:dyDescent="0.3">
      <c r="A11" t="s">
        <v>14</v>
      </c>
      <c r="B11" t="s">
        <v>51</v>
      </c>
      <c r="C11" t="s">
        <v>52</v>
      </c>
      <c r="D11" s="2">
        <v>66.09</v>
      </c>
      <c r="E11" s="2">
        <v>70.680000000000007</v>
      </c>
      <c r="F11" s="2">
        <v>71.58</v>
      </c>
      <c r="G11" s="2">
        <v>77.28</v>
      </c>
      <c r="H11" s="2">
        <v>77.819999999999993</v>
      </c>
      <c r="I11" s="2">
        <v>81.44</v>
      </c>
      <c r="J11" s="2">
        <v>81.919799999999995</v>
      </c>
      <c r="K11" s="2">
        <v>83.751099999999994</v>
      </c>
      <c r="L11" s="2">
        <v>78.006</v>
      </c>
      <c r="M11" s="2">
        <v>79.269800000000004</v>
      </c>
      <c r="N11" s="2">
        <v>80.502499999999998</v>
      </c>
      <c r="O11" s="2">
        <v>82.043199999999999</v>
      </c>
      <c r="P11" s="2">
        <v>83.339699999999993</v>
      </c>
      <c r="Q11" s="2">
        <v>84.706400000000002</v>
      </c>
      <c r="R11" s="2">
        <v>86.095500000000001</v>
      </c>
      <c r="S11" s="2">
        <v>85.333299999999994</v>
      </c>
    </row>
    <row r="12" spans="1:19" x14ac:dyDescent="0.3">
      <c r="A12" t="s">
        <v>32</v>
      </c>
      <c r="B12" t="s">
        <v>51</v>
      </c>
      <c r="C12" t="s">
        <v>52</v>
      </c>
      <c r="D12" s="2">
        <v>35.880000000000003</v>
      </c>
      <c r="E12" s="2">
        <v>38.200000000000003</v>
      </c>
      <c r="F12" s="2">
        <v>42.4</v>
      </c>
      <c r="G12" s="2">
        <v>44.4</v>
      </c>
      <c r="H12" s="2">
        <v>51.65</v>
      </c>
      <c r="I12" s="2">
        <v>55.07</v>
      </c>
      <c r="J12" s="2">
        <v>59.866300000000003</v>
      </c>
      <c r="K12" s="2">
        <v>63.207299999999996</v>
      </c>
      <c r="L12" s="2">
        <v>66.834999999999994</v>
      </c>
      <c r="M12" s="2">
        <v>69.087900000000005</v>
      </c>
      <c r="N12" s="2">
        <v>69.893000000000001</v>
      </c>
      <c r="O12" s="2">
        <v>72.238399999999999</v>
      </c>
      <c r="P12" s="2">
        <v>75.671199999999999</v>
      </c>
      <c r="Q12" s="2">
        <v>78.115799999999993</v>
      </c>
      <c r="R12" s="2">
        <v>78.494299999999996</v>
      </c>
      <c r="S12" s="2">
        <v>83.170699999999997</v>
      </c>
    </row>
    <row r="13" spans="1:19" x14ac:dyDescent="0.3">
      <c r="A13" t="s">
        <v>19</v>
      </c>
      <c r="B13" t="s">
        <v>51</v>
      </c>
      <c r="C13" t="s">
        <v>52</v>
      </c>
      <c r="D13" s="2">
        <v>41.44</v>
      </c>
      <c r="E13" s="2">
        <v>44.24</v>
      </c>
      <c r="F13" s="2">
        <v>50.58</v>
      </c>
      <c r="G13" s="2">
        <v>56.55</v>
      </c>
      <c r="H13" s="2">
        <v>57.79</v>
      </c>
      <c r="I13" s="2">
        <v>61.94</v>
      </c>
      <c r="J13" s="2">
        <v>66.747600000000006</v>
      </c>
      <c r="K13" s="2">
        <v>68.567899999999995</v>
      </c>
      <c r="L13" s="2">
        <v>69.844999999999999</v>
      </c>
      <c r="M13" s="2">
        <v>72.697299999999998</v>
      </c>
      <c r="N13" s="2">
        <v>67.096199999999996</v>
      </c>
      <c r="O13" s="2">
        <v>75.294600000000003</v>
      </c>
      <c r="P13" s="2">
        <v>79.079800000000006</v>
      </c>
      <c r="Q13" s="2">
        <v>78.320899999999995</v>
      </c>
      <c r="R13" s="2">
        <v>81.254000000000005</v>
      </c>
      <c r="S13" s="2">
        <v>82.071600000000004</v>
      </c>
    </row>
    <row r="14" spans="1:19" x14ac:dyDescent="0.3">
      <c r="A14" t="s">
        <v>28</v>
      </c>
      <c r="B14" t="s">
        <v>51</v>
      </c>
      <c r="C14" t="s">
        <v>52</v>
      </c>
      <c r="D14" s="2">
        <v>53.3</v>
      </c>
      <c r="E14" s="2">
        <v>61</v>
      </c>
      <c r="F14" s="2">
        <v>62</v>
      </c>
      <c r="G14" s="2">
        <v>65</v>
      </c>
      <c r="H14" s="2">
        <v>68.02</v>
      </c>
      <c r="I14" s="2">
        <v>70.58</v>
      </c>
      <c r="J14" s="2">
        <v>72.643900000000002</v>
      </c>
      <c r="K14" s="2">
        <v>75.653199999999998</v>
      </c>
      <c r="L14" s="2">
        <v>72.834699999999998</v>
      </c>
      <c r="M14" s="2">
        <v>79.259399999999999</v>
      </c>
      <c r="N14" s="2">
        <v>76.750500000000002</v>
      </c>
      <c r="O14" s="2">
        <v>76.074399999999997</v>
      </c>
      <c r="P14" s="2">
        <v>80.371700000000004</v>
      </c>
      <c r="Q14" s="2">
        <v>84.771199999999993</v>
      </c>
      <c r="R14" s="2">
        <v>88.640799999999999</v>
      </c>
      <c r="S14" s="2">
        <v>89.142799999999994</v>
      </c>
    </row>
    <row r="15" spans="1:19" x14ac:dyDescent="0.3">
      <c r="A15" t="s">
        <v>18</v>
      </c>
      <c r="B15" t="s">
        <v>51</v>
      </c>
      <c r="C15" t="s">
        <v>52</v>
      </c>
      <c r="D15" s="2">
        <v>61.158299999999997</v>
      </c>
      <c r="E15" s="2">
        <v>65.34</v>
      </c>
      <c r="F15" s="2">
        <v>67.38</v>
      </c>
      <c r="G15" s="2">
        <v>69.849999999999994</v>
      </c>
      <c r="H15" s="2">
        <v>74.89</v>
      </c>
      <c r="I15" s="2">
        <v>76.92</v>
      </c>
      <c r="J15" s="2">
        <v>78.247699999999995</v>
      </c>
      <c r="K15" s="2">
        <v>83.491699999999994</v>
      </c>
      <c r="L15" s="2">
        <v>83.494799999999998</v>
      </c>
      <c r="M15" s="2">
        <v>83.5</v>
      </c>
      <c r="N15" s="2">
        <v>84.114000000000004</v>
      </c>
      <c r="O15" s="2">
        <v>87.000100000000003</v>
      </c>
      <c r="P15" s="2">
        <v>87.000100000000003</v>
      </c>
      <c r="Q15" s="2">
        <v>91.999899999999997</v>
      </c>
      <c r="R15" s="2">
        <v>96.423500000000004</v>
      </c>
      <c r="S15" s="2">
        <v>96.620599999999996</v>
      </c>
    </row>
    <row r="16" spans="1:19" x14ac:dyDescent="0.3">
      <c r="A16" t="s">
        <v>37</v>
      </c>
      <c r="B16" t="s">
        <v>51</v>
      </c>
      <c r="C16" t="s">
        <v>52</v>
      </c>
      <c r="D16" s="2">
        <v>40.79</v>
      </c>
      <c r="E16" s="2">
        <v>44.53</v>
      </c>
      <c r="F16" s="2">
        <v>48.83</v>
      </c>
      <c r="G16" s="2">
        <v>53.68</v>
      </c>
      <c r="H16" s="2">
        <v>54.39</v>
      </c>
      <c r="I16" s="2">
        <v>55.83</v>
      </c>
      <c r="J16" s="2">
        <v>58.459299999999999</v>
      </c>
      <c r="K16" s="2">
        <v>55.638500000000001</v>
      </c>
      <c r="L16" s="2">
        <v>58.1417</v>
      </c>
      <c r="M16" s="2">
        <v>61.324300000000001</v>
      </c>
      <c r="N16" s="2">
        <v>63.077300000000001</v>
      </c>
      <c r="O16" s="2">
        <v>74.387200000000007</v>
      </c>
      <c r="P16" s="2">
        <v>67.850700000000003</v>
      </c>
      <c r="Q16" s="2">
        <v>70.483400000000003</v>
      </c>
      <c r="R16" s="2">
        <v>74.862300000000005</v>
      </c>
      <c r="S16" s="2">
        <v>85.060699999999997</v>
      </c>
    </row>
    <row r="17" spans="1:19" x14ac:dyDescent="0.3">
      <c r="A17" t="s">
        <v>21</v>
      </c>
      <c r="B17" t="s">
        <v>51</v>
      </c>
      <c r="C17" t="s">
        <v>52</v>
      </c>
      <c r="D17" s="2">
        <v>49.9</v>
      </c>
      <c r="E17" s="2">
        <v>55.22</v>
      </c>
      <c r="F17" s="2">
        <v>59.76</v>
      </c>
      <c r="G17" s="2">
        <v>62.12</v>
      </c>
      <c r="H17" s="2">
        <v>63.64</v>
      </c>
      <c r="I17" s="2">
        <v>67.23</v>
      </c>
      <c r="J17" s="2">
        <v>68.4529</v>
      </c>
      <c r="K17" s="2">
        <v>72.133499999999998</v>
      </c>
      <c r="L17" s="2">
        <v>71.378100000000003</v>
      </c>
      <c r="M17" s="2">
        <v>74.376599999999996</v>
      </c>
      <c r="N17" s="2">
        <v>77.615300000000005</v>
      </c>
      <c r="O17" s="2">
        <v>79.7226</v>
      </c>
      <c r="P17" s="2">
        <v>81.581900000000005</v>
      </c>
      <c r="Q17" s="2">
        <v>83.055499999999995</v>
      </c>
      <c r="R17" s="2">
        <v>86.930499999999995</v>
      </c>
      <c r="S17" s="2">
        <v>87.724199999999996</v>
      </c>
    </row>
    <row r="18" spans="1:19" x14ac:dyDescent="0.3">
      <c r="A18" t="s">
        <v>26</v>
      </c>
      <c r="B18" t="s">
        <v>51</v>
      </c>
      <c r="C18" t="s">
        <v>52</v>
      </c>
      <c r="D18" s="2">
        <v>78.92</v>
      </c>
      <c r="E18" s="2">
        <v>82.23</v>
      </c>
      <c r="F18" s="2">
        <v>87.31</v>
      </c>
      <c r="G18" s="2">
        <v>90.62</v>
      </c>
      <c r="H18" s="2">
        <v>90.029899999999998</v>
      </c>
      <c r="I18" s="2">
        <v>91.9499</v>
      </c>
      <c r="J18" s="2">
        <v>93.776499999999999</v>
      </c>
      <c r="K18" s="2">
        <v>94.670199999999994</v>
      </c>
      <c r="L18" s="2">
        <v>96.3767</v>
      </c>
      <c r="M18" s="2">
        <v>98.136700000000005</v>
      </c>
      <c r="N18" s="2">
        <v>97.363</v>
      </c>
      <c r="O18" s="2">
        <v>97.061300000000003</v>
      </c>
      <c r="P18" s="2">
        <v>97.120599999999996</v>
      </c>
      <c r="Q18" s="2">
        <v>98.459599999999995</v>
      </c>
      <c r="R18" s="2">
        <v>98.660899999999998</v>
      </c>
      <c r="S18" s="2">
        <v>98.242000000000004</v>
      </c>
    </row>
    <row r="19" spans="1:19" x14ac:dyDescent="0.3">
      <c r="A19" t="s">
        <v>38</v>
      </c>
      <c r="B19" t="s">
        <v>51</v>
      </c>
      <c r="C19" t="s">
        <v>52</v>
      </c>
      <c r="D19" s="2">
        <v>59.17</v>
      </c>
      <c r="E19" s="2">
        <v>63.41</v>
      </c>
      <c r="F19" s="2">
        <v>66.84</v>
      </c>
      <c r="G19" s="2">
        <v>68.42</v>
      </c>
      <c r="H19" s="2">
        <v>69.75</v>
      </c>
      <c r="I19" s="2">
        <v>73.119900000000001</v>
      </c>
      <c r="J19" s="2">
        <v>75.234399999999994</v>
      </c>
      <c r="K19" s="2">
        <v>75.826099999999997</v>
      </c>
      <c r="L19" s="2">
        <v>79.200599999999994</v>
      </c>
      <c r="M19" s="2">
        <v>79.842100000000002</v>
      </c>
      <c r="N19" s="2">
        <v>80.114099999999993</v>
      </c>
      <c r="O19" s="2">
        <v>83.577200000000005</v>
      </c>
      <c r="P19" s="2">
        <v>86.135499999999993</v>
      </c>
      <c r="Q19" s="2">
        <v>88.897999999999996</v>
      </c>
      <c r="R19" s="2">
        <v>91.179599999999994</v>
      </c>
      <c r="S19" s="2">
        <v>91.030100000000004</v>
      </c>
    </row>
    <row r="20" spans="1:19" x14ac:dyDescent="0.3">
      <c r="A20" t="s">
        <v>39</v>
      </c>
      <c r="B20" t="s">
        <v>51</v>
      </c>
      <c r="C20" t="s">
        <v>52</v>
      </c>
      <c r="D20" s="2">
        <v>46.9</v>
      </c>
      <c r="E20" s="2">
        <v>50.08</v>
      </c>
      <c r="F20" s="2">
        <v>58.86</v>
      </c>
      <c r="G20" s="2">
        <v>63</v>
      </c>
      <c r="H20" s="2">
        <v>68.019800000000004</v>
      </c>
      <c r="I20" s="2">
        <v>68.1999</v>
      </c>
      <c r="J20" s="2">
        <v>68.913799999999995</v>
      </c>
      <c r="K20" s="2">
        <v>73.114099999999993</v>
      </c>
      <c r="L20" s="2">
        <v>75.959999999999994</v>
      </c>
      <c r="M20" s="2">
        <v>78.075100000000006</v>
      </c>
      <c r="N20" s="2">
        <v>81.011899999999997</v>
      </c>
      <c r="O20" s="2">
        <v>81.658000000000001</v>
      </c>
      <c r="P20" s="2">
        <v>85.778599999999997</v>
      </c>
      <c r="Q20" s="2">
        <v>86.858800000000002</v>
      </c>
      <c r="R20" s="2">
        <v>87.469800000000006</v>
      </c>
      <c r="S20" s="2">
        <v>91.540599999999998</v>
      </c>
    </row>
    <row r="21" spans="1:19" x14ac:dyDescent="0.3">
      <c r="A21" t="s">
        <v>29</v>
      </c>
      <c r="B21" t="s">
        <v>51</v>
      </c>
      <c r="C21" t="s">
        <v>52</v>
      </c>
      <c r="D21" s="2">
        <v>48.6</v>
      </c>
      <c r="E21" s="2">
        <v>53.13</v>
      </c>
      <c r="F21" s="2">
        <v>58.97</v>
      </c>
      <c r="G21" s="2">
        <v>62.32</v>
      </c>
      <c r="H21" s="2">
        <v>61.95</v>
      </c>
      <c r="I21" s="2">
        <v>62.31</v>
      </c>
      <c r="J21" s="2">
        <v>62.849200000000003</v>
      </c>
      <c r="K21" s="2">
        <v>66.598699999999994</v>
      </c>
      <c r="L21" s="2">
        <v>67.997</v>
      </c>
      <c r="M21" s="2">
        <v>73.300700000000006</v>
      </c>
      <c r="N21" s="2">
        <v>75.985399999999998</v>
      </c>
      <c r="O21" s="2">
        <v>77.541700000000006</v>
      </c>
      <c r="P21" s="2">
        <v>80.435900000000004</v>
      </c>
      <c r="Q21" s="2">
        <v>83.184899999999999</v>
      </c>
      <c r="R21" s="2">
        <v>85.374899999999997</v>
      </c>
      <c r="S21" s="2">
        <v>86.941100000000006</v>
      </c>
    </row>
    <row r="22" spans="1:19" x14ac:dyDescent="0.3">
      <c r="A22" t="s">
        <v>33</v>
      </c>
      <c r="B22" t="s">
        <v>51</v>
      </c>
      <c r="C22" t="s">
        <v>52</v>
      </c>
      <c r="D22" s="2">
        <v>42.09</v>
      </c>
      <c r="E22" s="2">
        <v>44.13</v>
      </c>
      <c r="F22" s="2">
        <v>48.27</v>
      </c>
      <c r="G22" s="2">
        <v>53.3</v>
      </c>
      <c r="H22" s="2">
        <v>55.25</v>
      </c>
      <c r="I22" s="2">
        <v>60.34</v>
      </c>
      <c r="J22" s="2">
        <v>62.095599999999997</v>
      </c>
      <c r="K22" s="2">
        <v>64.592399999999998</v>
      </c>
      <c r="L22" s="2">
        <v>68.632900000000006</v>
      </c>
      <c r="M22" s="2">
        <v>70.423599999999993</v>
      </c>
      <c r="N22" s="2">
        <v>73.791200000000003</v>
      </c>
      <c r="O22" s="2">
        <v>74.661000000000001</v>
      </c>
      <c r="P22" s="2">
        <v>75.346400000000003</v>
      </c>
      <c r="Q22" s="2">
        <v>78.261700000000005</v>
      </c>
      <c r="R22" s="2">
        <v>82.308999999999997</v>
      </c>
      <c r="S22" s="2">
        <v>84.496899999999997</v>
      </c>
    </row>
    <row r="23" spans="1:19" x14ac:dyDescent="0.3">
      <c r="A23" t="s">
        <v>25</v>
      </c>
      <c r="B23" t="s">
        <v>51</v>
      </c>
      <c r="C23" t="s">
        <v>52</v>
      </c>
      <c r="D23" s="2">
        <v>28.3</v>
      </c>
      <c r="E23" s="2">
        <v>32.42</v>
      </c>
      <c r="F23" s="2">
        <v>36.6</v>
      </c>
      <c r="G23" s="2">
        <v>39.93</v>
      </c>
      <c r="H23" s="2">
        <v>40.01</v>
      </c>
      <c r="I23" s="2">
        <v>45.88</v>
      </c>
      <c r="J23" s="2">
        <v>49.764499999999998</v>
      </c>
      <c r="K23" s="2">
        <v>54.078299999999999</v>
      </c>
      <c r="L23" s="2">
        <v>55.763199999999998</v>
      </c>
      <c r="M23" s="2">
        <v>59.503999999999998</v>
      </c>
      <c r="N23" s="2">
        <v>63.747300000000003</v>
      </c>
      <c r="O23" s="2">
        <v>70.681299999999993</v>
      </c>
      <c r="P23" s="2">
        <v>73.657499999999999</v>
      </c>
      <c r="Q23" s="2">
        <v>78.455299999999994</v>
      </c>
      <c r="R23" s="2">
        <v>83.590400000000002</v>
      </c>
      <c r="S23" s="2">
        <v>85.503100000000003</v>
      </c>
    </row>
    <row r="24" spans="1:19" x14ac:dyDescent="0.3">
      <c r="A24" t="s">
        <v>42</v>
      </c>
      <c r="B24" t="s">
        <v>51</v>
      </c>
      <c r="C24" t="s">
        <v>52</v>
      </c>
      <c r="D24" s="2">
        <v>61.8</v>
      </c>
      <c r="E24" s="2">
        <v>66.05</v>
      </c>
      <c r="F24" s="2">
        <v>70</v>
      </c>
      <c r="G24" s="2">
        <v>75.709999999999994</v>
      </c>
      <c r="H24" s="2">
        <v>74.44</v>
      </c>
      <c r="I24" s="2">
        <v>76.709999999999994</v>
      </c>
      <c r="J24" s="2">
        <v>77.882599999999996</v>
      </c>
      <c r="K24" s="2">
        <v>79.984300000000005</v>
      </c>
      <c r="L24" s="2">
        <v>77.634699999999995</v>
      </c>
      <c r="M24" s="2">
        <v>80.475899999999996</v>
      </c>
      <c r="N24" s="2">
        <v>81.625699999999995</v>
      </c>
      <c r="O24" s="2">
        <v>80.448899999999995</v>
      </c>
      <c r="P24" s="2">
        <v>82.853700000000003</v>
      </c>
      <c r="Q24" s="2">
        <v>89.920900000000003</v>
      </c>
      <c r="R24" s="2">
        <v>88.925600000000003</v>
      </c>
      <c r="S24" s="2">
        <v>89.067700000000002</v>
      </c>
    </row>
    <row r="25" spans="1:19" x14ac:dyDescent="0.3">
      <c r="A25" t="s">
        <v>17</v>
      </c>
      <c r="B25" t="s">
        <v>51</v>
      </c>
      <c r="C25" t="s">
        <v>52</v>
      </c>
      <c r="D25" s="2">
        <v>56.74</v>
      </c>
      <c r="E25" s="2">
        <v>58</v>
      </c>
      <c r="F25" s="2">
        <v>64</v>
      </c>
      <c r="G25" s="2">
        <v>70</v>
      </c>
      <c r="H25" s="2">
        <v>67.34</v>
      </c>
      <c r="I25" s="2">
        <v>68.349999999999994</v>
      </c>
      <c r="J25" s="2">
        <v>72.675600000000003</v>
      </c>
      <c r="K25" s="2">
        <v>71.586299999999994</v>
      </c>
      <c r="L25" s="2">
        <v>73.098699999999994</v>
      </c>
      <c r="M25" s="2">
        <v>75.498500000000007</v>
      </c>
      <c r="N25" s="2">
        <v>78.885400000000004</v>
      </c>
      <c r="O25" s="2">
        <v>79.75</v>
      </c>
      <c r="P25" s="2">
        <v>83.108400000000003</v>
      </c>
      <c r="Q25" s="2">
        <v>86.601299999999995</v>
      </c>
      <c r="R25" s="2">
        <v>89.004000000000005</v>
      </c>
      <c r="S25" s="2">
        <v>88.912499999999994</v>
      </c>
    </row>
    <row r="26" spans="1:19" x14ac:dyDescent="0.3">
      <c r="A26" t="s">
        <v>20</v>
      </c>
      <c r="B26" t="s">
        <v>51</v>
      </c>
      <c r="C26" t="s">
        <v>52</v>
      </c>
      <c r="D26" s="2">
        <v>82.01</v>
      </c>
      <c r="E26" s="2">
        <v>90</v>
      </c>
      <c r="F26" s="2">
        <v>91</v>
      </c>
      <c r="G26" s="2">
        <v>90</v>
      </c>
      <c r="H26" s="2">
        <v>92.77</v>
      </c>
      <c r="I26" s="2">
        <v>93.18</v>
      </c>
      <c r="J26" s="2">
        <v>94.783600000000007</v>
      </c>
      <c r="K26" s="2">
        <v>92.523600000000002</v>
      </c>
      <c r="L26" s="2">
        <v>90.610200000000006</v>
      </c>
      <c r="M26" s="2">
        <v>89.650899999999993</v>
      </c>
      <c r="N26" s="2">
        <v>93.006299999999996</v>
      </c>
      <c r="O26" s="2">
        <v>89.247</v>
      </c>
      <c r="P26" s="2">
        <v>94.493399999999994</v>
      </c>
      <c r="Q26" s="2">
        <v>94.539400000000001</v>
      </c>
      <c r="R26" s="2">
        <v>94.670299999999997</v>
      </c>
      <c r="S26" s="2">
        <v>95.009699999999995</v>
      </c>
    </row>
    <row r="27" spans="1:19" x14ac:dyDescent="0.3">
      <c r="A27" t="s">
        <v>30</v>
      </c>
      <c r="B27" t="s">
        <v>51</v>
      </c>
      <c r="C27" t="s">
        <v>52</v>
      </c>
      <c r="D27" s="2">
        <v>40.770000000000003</v>
      </c>
      <c r="E27" s="2">
        <v>42.31</v>
      </c>
      <c r="F27" s="2">
        <v>49.81</v>
      </c>
      <c r="G27" s="2">
        <v>52.99</v>
      </c>
      <c r="H27" s="2">
        <v>56.859900000000003</v>
      </c>
      <c r="I27" s="2">
        <v>60.689900000000002</v>
      </c>
      <c r="J27" s="2">
        <v>65.454800000000006</v>
      </c>
      <c r="K27" s="2">
        <v>69.328699999999998</v>
      </c>
      <c r="L27" s="2">
        <v>71.715699999999998</v>
      </c>
      <c r="M27" s="2">
        <v>75.900199999999998</v>
      </c>
      <c r="N27" s="2">
        <v>80.743200000000002</v>
      </c>
      <c r="O27" s="2">
        <v>84.433599999999998</v>
      </c>
      <c r="P27" s="2">
        <v>86.063599999999994</v>
      </c>
      <c r="Q27" s="2">
        <v>90.801900000000003</v>
      </c>
      <c r="R27" s="2">
        <v>90.759500000000003</v>
      </c>
      <c r="S27" s="2">
        <v>89.600999999999999</v>
      </c>
    </row>
    <row r="28" spans="1:19" x14ac:dyDescent="0.3">
      <c r="A28" t="s">
        <v>22</v>
      </c>
      <c r="B28" t="s">
        <v>51</v>
      </c>
      <c r="C28" t="s">
        <v>52</v>
      </c>
      <c r="D28" s="2">
        <v>85.82</v>
      </c>
      <c r="E28" s="2">
        <v>87.42</v>
      </c>
      <c r="F28" s="2">
        <v>89.63</v>
      </c>
      <c r="G28" s="2">
        <v>90.72</v>
      </c>
      <c r="H28" s="2">
        <v>91.42</v>
      </c>
      <c r="I28" s="2">
        <v>92.86</v>
      </c>
      <c r="J28" s="2">
        <v>93.956400000000002</v>
      </c>
      <c r="K28" s="2">
        <v>91.666700000000006</v>
      </c>
      <c r="L28" s="2">
        <v>91.724100000000007</v>
      </c>
      <c r="M28" s="2">
        <v>90.411000000000001</v>
      </c>
      <c r="N28" s="2">
        <v>93.197299999999998</v>
      </c>
      <c r="O28" s="2">
        <v>91.891900000000007</v>
      </c>
      <c r="P28" s="2">
        <v>93.288600000000002</v>
      </c>
      <c r="Q28" s="2">
        <v>91.333299999999994</v>
      </c>
      <c r="R28" s="2">
        <v>92.052999999999997</v>
      </c>
      <c r="S28" s="2">
        <v>92.5197</v>
      </c>
    </row>
    <row r="35" spans="4:4" x14ac:dyDescent="0.3">
      <c r="D35" s="2" cm="1">
        <f t="array" ref="D35:D50">TRANSPOSE(D10:S10)</f>
        <v>80.78</v>
      </c>
    </row>
    <row r="36" spans="4:4" x14ac:dyDescent="0.3">
      <c r="D36" s="2">
        <v>83.67</v>
      </c>
    </row>
    <row r="37" spans="4:4" x14ac:dyDescent="0.3">
      <c r="D37" s="2">
        <v>82.49</v>
      </c>
    </row>
    <row r="38" spans="4:4" x14ac:dyDescent="0.3">
      <c r="D38" s="2">
        <v>86.89</v>
      </c>
    </row>
    <row r="39" spans="4:4" x14ac:dyDescent="0.3">
      <c r="D39" s="2">
        <v>88.71</v>
      </c>
    </row>
    <row r="40" spans="4:4" x14ac:dyDescent="0.3">
      <c r="D40" s="2">
        <v>89.88</v>
      </c>
    </row>
    <row r="41" spans="4:4" x14ac:dyDescent="0.3">
      <c r="D41" s="2">
        <v>91.514399999999995</v>
      </c>
    </row>
    <row r="42" spans="4:4" x14ac:dyDescent="0.3">
      <c r="D42" s="2">
        <v>86.5304</v>
      </c>
    </row>
    <row r="43" spans="4:4" x14ac:dyDescent="0.3">
      <c r="D43" s="2">
        <v>86.4221</v>
      </c>
    </row>
    <row r="44" spans="4:4" x14ac:dyDescent="0.3">
      <c r="D44" s="2">
        <v>87.703599999999994</v>
      </c>
    </row>
    <row r="45" spans="4:4" x14ac:dyDescent="0.3">
      <c r="D45" s="2">
        <v>87.468900000000005</v>
      </c>
    </row>
    <row r="46" spans="4:4" x14ac:dyDescent="0.3">
      <c r="D46" s="2">
        <v>88.89</v>
      </c>
    </row>
    <row r="47" spans="4:4" x14ac:dyDescent="0.3">
      <c r="D47" s="2">
        <v>89.607399999999998</v>
      </c>
    </row>
    <row r="48" spans="4:4" x14ac:dyDescent="0.3">
      <c r="D48" s="2">
        <v>92.170299999999997</v>
      </c>
    </row>
    <row r="49" spans="4:4" x14ac:dyDescent="0.3">
      <c r="D49" s="2">
        <v>92.808099999999996</v>
      </c>
    </row>
    <row r="50" spans="4:4" x14ac:dyDescent="0.3">
      <c r="D50" s="2">
        <v>92.988799999999998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7EFD-31DA-4123-A039-A393DD06087C}">
  <dimension ref="A1:S28"/>
  <sheetViews>
    <sheetView workbookViewId="0">
      <selection activeCell="D37" sqref="D37"/>
    </sheetView>
  </sheetViews>
  <sheetFormatPr defaultRowHeight="14.4" x14ac:dyDescent="0.3"/>
  <sheetData>
    <row r="1" spans="1:19" x14ac:dyDescent="0.3">
      <c r="A1" t="s">
        <v>65</v>
      </c>
      <c r="B1" t="s">
        <v>43</v>
      </c>
      <c r="C1" t="s">
        <v>44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30</v>
      </c>
      <c r="B2" t="s">
        <v>100</v>
      </c>
      <c r="C2" t="s">
        <v>16</v>
      </c>
      <c r="D2">
        <v>127.294</v>
      </c>
      <c r="E2">
        <v>127.587</v>
      </c>
      <c r="F2">
        <v>119.34099999999999</v>
      </c>
      <c r="G2">
        <v>123.133</v>
      </c>
      <c r="H2">
        <v>126.56</v>
      </c>
      <c r="I2">
        <v>128.298</v>
      </c>
      <c r="J2">
        <v>128.161</v>
      </c>
      <c r="K2">
        <v>131.14500000000001</v>
      </c>
      <c r="L2">
        <v>130.982</v>
      </c>
      <c r="M2">
        <v>132.637</v>
      </c>
      <c r="N2">
        <v>136.172</v>
      </c>
      <c r="O2">
        <v>137.04499999999999</v>
      </c>
      <c r="P2">
        <v>139.994</v>
      </c>
      <c r="Q2">
        <v>138.38800000000001</v>
      </c>
      <c r="R2">
        <v>145.99199999999999</v>
      </c>
      <c r="S2">
        <v>151.24100000000001</v>
      </c>
    </row>
    <row r="3" spans="1:19" x14ac:dyDescent="0.3">
      <c r="A3" t="s">
        <v>17</v>
      </c>
      <c r="B3" t="s">
        <v>100</v>
      </c>
      <c r="C3" t="s">
        <v>16</v>
      </c>
      <c r="D3">
        <v>95.742800000000003</v>
      </c>
      <c r="E3">
        <v>101.47199999999999</v>
      </c>
      <c r="F3">
        <v>103.185</v>
      </c>
      <c r="G3">
        <v>103.783</v>
      </c>
      <c r="H3">
        <v>105.845</v>
      </c>
      <c r="I3">
        <v>109.148</v>
      </c>
      <c r="J3">
        <v>111.045</v>
      </c>
      <c r="K3">
        <v>113.01900000000001</v>
      </c>
      <c r="L3">
        <v>114.271</v>
      </c>
      <c r="M3">
        <v>115.736</v>
      </c>
      <c r="N3">
        <v>118.462</v>
      </c>
      <c r="O3">
        <v>119.15300000000001</v>
      </c>
      <c r="P3">
        <v>120.569</v>
      </c>
      <c r="Q3">
        <v>121.331</v>
      </c>
      <c r="R3">
        <v>123.363</v>
      </c>
      <c r="S3">
        <v>126.459</v>
      </c>
    </row>
    <row r="4" spans="1:19" x14ac:dyDescent="0.3">
      <c r="A4" t="s">
        <v>26</v>
      </c>
      <c r="B4" t="s">
        <v>100</v>
      </c>
      <c r="C4" t="s">
        <v>16</v>
      </c>
      <c r="D4">
        <v>142.524</v>
      </c>
      <c r="E4">
        <v>144.584</v>
      </c>
      <c r="F4">
        <v>144.524</v>
      </c>
      <c r="G4">
        <v>143.27699999999999</v>
      </c>
      <c r="H4">
        <v>147.512</v>
      </c>
      <c r="I4">
        <v>143.38800000000001</v>
      </c>
      <c r="J4">
        <v>145.09299999999999</v>
      </c>
      <c r="K4">
        <v>144.244</v>
      </c>
      <c r="L4">
        <v>141.65899999999999</v>
      </c>
      <c r="M4">
        <v>130.93299999999999</v>
      </c>
      <c r="N4">
        <v>133.11099999999999</v>
      </c>
      <c r="O4">
        <v>131.327</v>
      </c>
      <c r="P4">
        <v>131.87</v>
      </c>
      <c r="Q4">
        <v>132.90899999999999</v>
      </c>
      <c r="R4">
        <v>136.87100000000001</v>
      </c>
      <c r="S4">
        <v>139.65100000000001</v>
      </c>
    </row>
    <row r="5" spans="1:19" x14ac:dyDescent="0.3">
      <c r="A5" t="s">
        <v>19</v>
      </c>
      <c r="B5" t="s">
        <v>100</v>
      </c>
      <c r="C5" t="s">
        <v>16</v>
      </c>
      <c r="D5">
        <v>116.651</v>
      </c>
      <c r="E5">
        <v>105.566</v>
      </c>
      <c r="F5">
        <v>108.456</v>
      </c>
      <c r="G5">
        <v>114.58199999999999</v>
      </c>
      <c r="H5">
        <v>119.49</v>
      </c>
      <c r="I5">
        <v>116.71899999999999</v>
      </c>
      <c r="J5">
        <v>111.282</v>
      </c>
      <c r="K5">
        <v>105.732</v>
      </c>
      <c r="L5">
        <v>105.544</v>
      </c>
      <c r="M5">
        <v>106.718</v>
      </c>
      <c r="N5">
        <v>105.795</v>
      </c>
      <c r="O5">
        <v>109.03400000000001</v>
      </c>
      <c r="P5">
        <v>110.494</v>
      </c>
      <c r="Q5">
        <v>110.666</v>
      </c>
      <c r="R5">
        <v>112.169</v>
      </c>
      <c r="S5">
        <v>114.67700000000001</v>
      </c>
    </row>
    <row r="6" spans="1:19" x14ac:dyDescent="0.3">
      <c r="A6" t="s">
        <v>37</v>
      </c>
      <c r="B6" t="s">
        <v>100</v>
      </c>
      <c r="C6" t="s">
        <v>16</v>
      </c>
      <c r="D6">
        <v>151.92500000000001</v>
      </c>
      <c r="E6">
        <v>151.67599999999999</v>
      </c>
      <c r="F6">
        <v>150.29499999999999</v>
      </c>
      <c r="G6">
        <v>155.684</v>
      </c>
      <c r="H6">
        <v>159.09299999999999</v>
      </c>
      <c r="I6">
        <v>160.559</v>
      </c>
      <c r="J6">
        <v>159.69800000000001</v>
      </c>
      <c r="K6">
        <v>148.21700000000001</v>
      </c>
      <c r="L6">
        <v>144.76400000000001</v>
      </c>
      <c r="M6">
        <v>142.12700000000001</v>
      </c>
      <c r="N6">
        <v>138.88200000000001</v>
      </c>
      <c r="O6">
        <v>138.26499999999999</v>
      </c>
      <c r="P6">
        <v>132.18100000000001</v>
      </c>
      <c r="Q6">
        <v>129.49</v>
      </c>
      <c r="R6">
        <v>130.78100000000001</v>
      </c>
      <c r="S6">
        <v>131.67400000000001</v>
      </c>
    </row>
    <row r="7" spans="1:19" x14ac:dyDescent="0.3">
      <c r="A7" t="s">
        <v>39</v>
      </c>
      <c r="B7" t="s">
        <v>100</v>
      </c>
      <c r="C7" t="s">
        <v>16</v>
      </c>
      <c r="D7">
        <v>88.334800000000001</v>
      </c>
      <c r="E7">
        <v>92.043999999999997</v>
      </c>
      <c r="F7">
        <v>100.306</v>
      </c>
      <c r="G7">
        <v>107.791</v>
      </c>
      <c r="H7">
        <v>122.872</v>
      </c>
      <c r="I7">
        <v>124.75700000000001</v>
      </c>
      <c r="J7">
        <v>129.922</v>
      </c>
      <c r="K7">
        <v>125.71899999999999</v>
      </c>
      <c r="L7">
        <v>117.794</v>
      </c>
      <c r="M7">
        <v>128.59899999999999</v>
      </c>
      <c r="N7">
        <v>129.249</v>
      </c>
      <c r="O7">
        <v>127.09399999999999</v>
      </c>
      <c r="P7">
        <v>125.866</v>
      </c>
      <c r="Q7">
        <v>122.176</v>
      </c>
      <c r="R7">
        <v>123.941</v>
      </c>
      <c r="S7">
        <v>132.86099999999999</v>
      </c>
    </row>
    <row r="8" spans="1:19" x14ac:dyDescent="0.3">
      <c r="A8" t="s">
        <v>31</v>
      </c>
      <c r="B8" t="s">
        <v>100</v>
      </c>
      <c r="C8" t="s">
        <v>16</v>
      </c>
      <c r="D8">
        <v>115.497</v>
      </c>
      <c r="E8">
        <v>119.35299999999999</v>
      </c>
      <c r="F8">
        <v>123.727</v>
      </c>
      <c r="G8">
        <v>115.73399999999999</v>
      </c>
      <c r="H8">
        <v>128.76300000000001</v>
      </c>
      <c r="I8">
        <v>130.416</v>
      </c>
      <c r="J8">
        <v>125.21299999999999</v>
      </c>
      <c r="K8">
        <v>126.869</v>
      </c>
      <c r="L8">
        <v>124.554</v>
      </c>
      <c r="M8">
        <v>121.941</v>
      </c>
      <c r="N8">
        <v>123.86199999999999</v>
      </c>
      <c r="O8">
        <v>124.55</v>
      </c>
      <c r="P8">
        <v>124.57299999999999</v>
      </c>
      <c r="Q8">
        <v>124.37</v>
      </c>
      <c r="R8">
        <v>125.604</v>
      </c>
      <c r="S8">
        <v>126.48399999999999</v>
      </c>
    </row>
    <row r="9" spans="1:19" x14ac:dyDescent="0.3">
      <c r="A9" t="s">
        <v>28</v>
      </c>
      <c r="B9" t="s">
        <v>100</v>
      </c>
      <c r="C9" t="s">
        <v>16</v>
      </c>
      <c r="D9">
        <v>109.925</v>
      </c>
      <c r="E9">
        <v>122.038</v>
      </c>
      <c r="F9">
        <v>117.90900000000001</v>
      </c>
      <c r="G9">
        <v>120.369</v>
      </c>
      <c r="H9">
        <v>117.526</v>
      </c>
      <c r="I9">
        <v>116.768</v>
      </c>
      <c r="J9">
        <v>117.2</v>
      </c>
      <c r="K9">
        <v>118.896</v>
      </c>
      <c r="L9">
        <v>100.624</v>
      </c>
      <c r="M9">
        <v>101.44199999999999</v>
      </c>
      <c r="N9">
        <v>101.629</v>
      </c>
      <c r="O9">
        <v>102.73699999999999</v>
      </c>
      <c r="P9">
        <v>105.142</v>
      </c>
      <c r="Q9">
        <v>105.982</v>
      </c>
      <c r="R9">
        <v>105.137</v>
      </c>
      <c r="S9">
        <v>105.794</v>
      </c>
    </row>
    <row r="10" spans="1:19" x14ac:dyDescent="0.3">
      <c r="A10" t="s">
        <v>23</v>
      </c>
      <c r="B10" t="s">
        <v>100</v>
      </c>
      <c r="C10" t="s">
        <v>16</v>
      </c>
      <c r="D10">
        <v>114.962</v>
      </c>
      <c r="E10">
        <v>128.54300000000001</v>
      </c>
      <c r="F10">
        <v>144.226</v>
      </c>
      <c r="G10">
        <v>156.43199999999999</v>
      </c>
      <c r="H10">
        <v>165.917</v>
      </c>
      <c r="I10">
        <v>172.14699999999999</v>
      </c>
      <c r="J10">
        <v>136.25899999999999</v>
      </c>
      <c r="K10">
        <v>139.19900000000001</v>
      </c>
      <c r="L10">
        <v>134.97399999999999</v>
      </c>
      <c r="M10">
        <v>131.38300000000001</v>
      </c>
      <c r="N10">
        <v>129.983</v>
      </c>
      <c r="O10">
        <v>129.62899999999999</v>
      </c>
      <c r="P10">
        <v>129.488</v>
      </c>
      <c r="Q10">
        <v>128.761</v>
      </c>
      <c r="R10">
        <v>129.036</v>
      </c>
      <c r="S10">
        <v>128.023</v>
      </c>
    </row>
    <row r="11" spans="1:19" x14ac:dyDescent="0.3">
      <c r="A11" t="s">
        <v>21</v>
      </c>
      <c r="B11" t="s">
        <v>100</v>
      </c>
      <c r="C11" t="s">
        <v>16</v>
      </c>
      <c r="D11">
        <v>152.012</v>
      </c>
      <c r="E11">
        <v>157.03200000000001</v>
      </c>
      <c r="F11">
        <v>156.84800000000001</v>
      </c>
      <c r="G11">
        <v>157.88999999999999</v>
      </c>
      <c r="H11">
        <v>163.04300000000001</v>
      </c>
      <c r="I11">
        <v>167.226</v>
      </c>
      <c r="J11">
        <v>154.34100000000001</v>
      </c>
      <c r="K11">
        <v>145.494</v>
      </c>
      <c r="L11">
        <v>143.99100000000001</v>
      </c>
      <c r="M11">
        <v>146.55000000000001</v>
      </c>
      <c r="N11">
        <v>154.148</v>
      </c>
      <c r="O11">
        <v>134.334</v>
      </c>
      <c r="P11">
        <v>132.529</v>
      </c>
      <c r="Q11">
        <v>131.34100000000001</v>
      </c>
      <c r="R11">
        <v>133.357</v>
      </c>
      <c r="S11">
        <v>135.834</v>
      </c>
    </row>
    <row r="12" spans="1:19" x14ac:dyDescent="0.3">
      <c r="A12" t="s">
        <v>29</v>
      </c>
      <c r="B12" t="s">
        <v>100</v>
      </c>
      <c r="C12" t="s">
        <v>16</v>
      </c>
      <c r="D12">
        <v>108.85899999999999</v>
      </c>
      <c r="E12">
        <v>115.608</v>
      </c>
      <c r="F12">
        <v>117.90600000000001</v>
      </c>
      <c r="G12">
        <v>123.249</v>
      </c>
      <c r="H12">
        <v>131.28</v>
      </c>
      <c r="I12">
        <v>141.41</v>
      </c>
      <c r="J12">
        <v>148.91200000000001</v>
      </c>
      <c r="K12">
        <v>148.71299999999999</v>
      </c>
      <c r="L12">
        <v>142.52000000000001</v>
      </c>
      <c r="M12">
        <v>138.51900000000001</v>
      </c>
      <c r="N12">
        <v>131.90100000000001</v>
      </c>
      <c r="O12">
        <v>126.26600000000001</v>
      </c>
      <c r="P12">
        <v>126.59699999999999</v>
      </c>
      <c r="Q12">
        <v>129.28800000000001</v>
      </c>
      <c r="R12">
        <v>132.98699999999999</v>
      </c>
      <c r="S12">
        <v>137.00200000000001</v>
      </c>
    </row>
    <row r="13" spans="1:19" x14ac:dyDescent="0.3">
      <c r="A13" t="s">
        <v>14</v>
      </c>
      <c r="B13" t="s">
        <v>100</v>
      </c>
      <c r="C13" t="s">
        <v>16</v>
      </c>
      <c r="D13">
        <v>88.668800000000005</v>
      </c>
      <c r="E13">
        <v>92.341200000000001</v>
      </c>
      <c r="F13">
        <v>91.778199999999998</v>
      </c>
      <c r="G13">
        <v>91.118600000000001</v>
      </c>
      <c r="H13">
        <v>93.852900000000005</v>
      </c>
      <c r="I13">
        <v>97.192499999999995</v>
      </c>
      <c r="J13">
        <v>98.347899999999996</v>
      </c>
      <c r="K13">
        <v>101.13200000000001</v>
      </c>
      <c r="L13">
        <v>102.718</v>
      </c>
      <c r="M13">
        <v>103.81699999999999</v>
      </c>
      <c r="N13">
        <v>105.718</v>
      </c>
      <c r="O13">
        <v>107.482</v>
      </c>
      <c r="P13">
        <v>109.601</v>
      </c>
      <c r="Q13">
        <v>110.387</v>
      </c>
      <c r="R13">
        <v>113.953</v>
      </c>
      <c r="S13">
        <v>115.95099999999999</v>
      </c>
    </row>
    <row r="14" spans="1:19" x14ac:dyDescent="0.3">
      <c r="A14" t="s">
        <v>36</v>
      </c>
      <c r="B14" t="s">
        <v>100</v>
      </c>
      <c r="C14" t="s">
        <v>16</v>
      </c>
      <c r="D14">
        <v>125.44499999999999</v>
      </c>
      <c r="E14">
        <v>121.494</v>
      </c>
      <c r="F14">
        <v>117.685</v>
      </c>
      <c r="G14">
        <v>124.136</v>
      </c>
      <c r="H14">
        <v>136.065</v>
      </c>
      <c r="I14">
        <v>151.197</v>
      </c>
      <c r="J14">
        <v>146.24700000000001</v>
      </c>
      <c r="K14">
        <v>144.36099999999999</v>
      </c>
      <c r="L14">
        <v>144.803</v>
      </c>
      <c r="M14">
        <v>144.23500000000001</v>
      </c>
      <c r="N14">
        <v>144.55699999999999</v>
      </c>
      <c r="O14">
        <v>145.54300000000001</v>
      </c>
      <c r="P14">
        <v>147.047</v>
      </c>
      <c r="Q14">
        <v>144.83199999999999</v>
      </c>
      <c r="R14">
        <v>148.74</v>
      </c>
      <c r="S14">
        <v>152.27099999999999</v>
      </c>
    </row>
    <row r="15" spans="1:19" x14ac:dyDescent="0.3">
      <c r="A15" t="s">
        <v>18</v>
      </c>
      <c r="B15" t="s">
        <v>100</v>
      </c>
      <c r="C15" t="s">
        <v>16</v>
      </c>
      <c r="D15">
        <v>113.13800000000001</v>
      </c>
      <c r="E15">
        <v>112.53100000000001</v>
      </c>
      <c r="F15">
        <v>103.76600000000001</v>
      </c>
      <c r="G15">
        <v>103.123</v>
      </c>
      <c r="H15">
        <v>107.13500000000001</v>
      </c>
      <c r="I15">
        <v>108.99</v>
      </c>
      <c r="J15">
        <v>105.538</v>
      </c>
      <c r="K15">
        <v>105.461</v>
      </c>
      <c r="L15">
        <v>104.24299999999999</v>
      </c>
      <c r="M15">
        <v>102.55800000000001</v>
      </c>
      <c r="N15">
        <v>101.842</v>
      </c>
      <c r="O15">
        <v>102.03</v>
      </c>
      <c r="P15">
        <v>104.598</v>
      </c>
      <c r="Q15">
        <v>105.04600000000001</v>
      </c>
      <c r="R15">
        <v>106.87</v>
      </c>
      <c r="S15">
        <v>110.60899999999999</v>
      </c>
    </row>
    <row r="16" spans="1:19" x14ac:dyDescent="0.3">
      <c r="A16" t="s">
        <v>42</v>
      </c>
      <c r="B16" t="s">
        <v>100</v>
      </c>
      <c r="C16" t="s">
        <v>16</v>
      </c>
      <c r="D16">
        <v>112.852</v>
      </c>
      <c r="E16">
        <v>102.62</v>
      </c>
      <c r="F16">
        <v>102.092</v>
      </c>
      <c r="G16">
        <v>109.88800000000001</v>
      </c>
      <c r="H16">
        <v>110.836</v>
      </c>
      <c r="I16">
        <v>112.759</v>
      </c>
      <c r="J16">
        <v>114.749</v>
      </c>
      <c r="K16">
        <v>117.78100000000001</v>
      </c>
      <c r="L16">
        <v>123.15900000000001</v>
      </c>
      <c r="M16">
        <v>128.792</v>
      </c>
      <c r="N16">
        <v>130.94499999999999</v>
      </c>
      <c r="O16">
        <v>133.04</v>
      </c>
      <c r="P16">
        <v>135.756</v>
      </c>
      <c r="Q16">
        <v>133.63300000000001</v>
      </c>
      <c r="R16">
        <v>135.268</v>
      </c>
      <c r="S16">
        <v>136.029</v>
      </c>
    </row>
    <row r="17" spans="1:19" x14ac:dyDescent="0.3">
      <c r="A17" t="s">
        <v>40</v>
      </c>
      <c r="B17" t="s">
        <v>100</v>
      </c>
      <c r="C17" t="s">
        <v>16</v>
      </c>
      <c r="D17">
        <v>130.45500000000001</v>
      </c>
      <c r="E17">
        <v>138.39699999999999</v>
      </c>
      <c r="F17">
        <v>139.62100000000001</v>
      </c>
      <c r="G17">
        <v>137.13999999999999</v>
      </c>
      <c r="H17">
        <v>141.93799999999999</v>
      </c>
      <c r="I17">
        <v>147.33799999999999</v>
      </c>
      <c r="J17">
        <v>144.35499999999999</v>
      </c>
      <c r="K17">
        <v>131.33500000000001</v>
      </c>
      <c r="L17">
        <v>128.10300000000001</v>
      </c>
      <c r="M17">
        <v>125.90600000000001</v>
      </c>
      <c r="N17">
        <v>120.596</v>
      </c>
      <c r="O17">
        <v>119.395</v>
      </c>
      <c r="P17">
        <v>116.617</v>
      </c>
      <c r="Q17">
        <v>114.59699999999999</v>
      </c>
      <c r="R17">
        <v>114.91200000000001</v>
      </c>
      <c r="S17">
        <v>116.679</v>
      </c>
    </row>
    <row r="18" spans="1:19" x14ac:dyDescent="0.3">
      <c r="A18" t="s">
        <v>38</v>
      </c>
      <c r="B18" t="s">
        <v>100</v>
      </c>
      <c r="C18" t="s">
        <v>16</v>
      </c>
      <c r="D18">
        <v>100.738</v>
      </c>
      <c r="E18">
        <v>105.55200000000001</v>
      </c>
      <c r="F18">
        <v>107.542</v>
      </c>
      <c r="G18">
        <v>109.928</v>
      </c>
      <c r="H18">
        <v>112.09099999999999</v>
      </c>
      <c r="I18">
        <v>129.30500000000001</v>
      </c>
      <c r="J18">
        <v>127.07299999999999</v>
      </c>
      <c r="K18">
        <v>119.55</v>
      </c>
      <c r="L18">
        <v>130.94900000000001</v>
      </c>
      <c r="M18">
        <v>135.227</v>
      </c>
      <c r="N18">
        <v>126.84699999999999</v>
      </c>
      <c r="O18">
        <v>107.39700000000001</v>
      </c>
      <c r="P18">
        <v>108.22199999999999</v>
      </c>
      <c r="Q18">
        <v>107.902</v>
      </c>
      <c r="R18">
        <v>114.645</v>
      </c>
      <c r="S18">
        <v>115.203</v>
      </c>
    </row>
    <row r="19" spans="1:19" x14ac:dyDescent="0.3">
      <c r="A19" t="s">
        <v>27</v>
      </c>
      <c r="B19" t="s">
        <v>100</v>
      </c>
      <c r="C19" t="s">
        <v>16</v>
      </c>
      <c r="D19">
        <v>119.46599999999999</v>
      </c>
      <c r="E19">
        <v>129.94900000000001</v>
      </c>
      <c r="F19">
        <v>137.01499999999999</v>
      </c>
      <c r="G19">
        <v>146.334</v>
      </c>
      <c r="H19">
        <v>155.155</v>
      </c>
      <c r="I19">
        <v>161.15600000000001</v>
      </c>
      <c r="J19">
        <v>156.483</v>
      </c>
      <c r="K19">
        <v>151.53100000000001</v>
      </c>
      <c r="L19">
        <v>155.83699999999999</v>
      </c>
      <c r="M19">
        <v>126.798</v>
      </c>
      <c r="N19">
        <v>123.41500000000001</v>
      </c>
      <c r="O19">
        <v>124.23</v>
      </c>
      <c r="P19">
        <v>120.776</v>
      </c>
      <c r="Q19">
        <v>120.13200000000001</v>
      </c>
      <c r="R19">
        <v>121.358</v>
      </c>
      <c r="S19">
        <v>121.166</v>
      </c>
    </row>
    <row r="20" spans="1:19" x14ac:dyDescent="0.3">
      <c r="A20" t="s">
        <v>41</v>
      </c>
      <c r="B20" t="s">
        <v>100</v>
      </c>
      <c r="C20" t="s">
        <v>16</v>
      </c>
      <c r="D20">
        <v>118.37</v>
      </c>
      <c r="E20">
        <v>130.09700000000001</v>
      </c>
      <c r="F20">
        <v>129.733</v>
      </c>
      <c r="G20">
        <v>109.364</v>
      </c>
      <c r="H20">
        <v>112.419</v>
      </c>
      <c r="I20">
        <v>114.19199999999999</v>
      </c>
      <c r="J20">
        <v>123.435</v>
      </c>
      <c r="K20">
        <v>122.309</v>
      </c>
      <c r="L20">
        <v>117.401</v>
      </c>
      <c r="M20">
        <v>125.024</v>
      </c>
      <c r="N20">
        <v>132.00299999999999</v>
      </c>
      <c r="O20">
        <v>128.946</v>
      </c>
      <c r="P20">
        <v>128.292</v>
      </c>
      <c r="Q20">
        <v>128.42500000000001</v>
      </c>
      <c r="R20">
        <v>127.125</v>
      </c>
      <c r="S20">
        <v>124.158</v>
      </c>
    </row>
    <row r="21" spans="1:19" x14ac:dyDescent="0.3">
      <c r="A21" t="s">
        <v>32</v>
      </c>
      <c r="B21" t="s">
        <v>100</v>
      </c>
      <c r="C21" t="s">
        <v>16</v>
      </c>
      <c r="D21">
        <v>111.309</v>
      </c>
      <c r="E21">
        <v>124.578</v>
      </c>
      <c r="F21">
        <v>119.68899999999999</v>
      </c>
      <c r="G21">
        <v>110.5</v>
      </c>
      <c r="H21">
        <v>109.17400000000001</v>
      </c>
      <c r="I21">
        <v>120.926</v>
      </c>
      <c r="J21">
        <v>114.143</v>
      </c>
      <c r="K21">
        <v>111.488</v>
      </c>
      <c r="L21">
        <v>116.133</v>
      </c>
      <c r="M21">
        <v>116.36499999999999</v>
      </c>
      <c r="N21">
        <v>120.306</v>
      </c>
      <c r="O21">
        <v>113.41800000000001</v>
      </c>
      <c r="P21">
        <v>110.855</v>
      </c>
      <c r="Q21">
        <v>106.67</v>
      </c>
      <c r="R21">
        <v>108.64400000000001</v>
      </c>
      <c r="S21">
        <v>109.027</v>
      </c>
    </row>
    <row r="22" spans="1:19" x14ac:dyDescent="0.3">
      <c r="A22" t="s">
        <v>22</v>
      </c>
      <c r="B22" t="s">
        <v>100</v>
      </c>
      <c r="C22" t="s">
        <v>16</v>
      </c>
      <c r="D22">
        <v>116.657</v>
      </c>
      <c r="E22">
        <v>124.28</v>
      </c>
      <c r="F22">
        <v>120.767</v>
      </c>
      <c r="G22">
        <v>114.357</v>
      </c>
      <c r="H22">
        <v>117.67400000000001</v>
      </c>
      <c r="I22">
        <v>116.56399999999999</v>
      </c>
      <c r="J22">
        <v>114.73399999999999</v>
      </c>
      <c r="K22">
        <v>114.867</v>
      </c>
      <c r="L22">
        <v>121.63800000000001</v>
      </c>
      <c r="M22">
        <v>121.42</v>
      </c>
      <c r="N22">
        <v>118.577</v>
      </c>
      <c r="O22">
        <v>121.16200000000001</v>
      </c>
      <c r="P22">
        <v>124.08799999999999</v>
      </c>
      <c r="Q22">
        <v>121.423</v>
      </c>
      <c r="R22">
        <v>123.44799999999999</v>
      </c>
      <c r="S22">
        <v>115.821</v>
      </c>
    </row>
    <row r="23" spans="1:19" x14ac:dyDescent="0.3">
      <c r="A23" t="s">
        <v>20</v>
      </c>
      <c r="B23" t="s">
        <v>100</v>
      </c>
      <c r="C23" t="s">
        <v>16</v>
      </c>
      <c r="D23">
        <v>110.58799999999999</v>
      </c>
      <c r="E23">
        <v>108.613</v>
      </c>
      <c r="F23">
        <v>112.273</v>
      </c>
      <c r="G23">
        <v>117.212</v>
      </c>
      <c r="H23">
        <v>121.21899999999999</v>
      </c>
      <c r="I23">
        <v>124.465</v>
      </c>
      <c r="J23">
        <v>125.142</v>
      </c>
      <c r="K23">
        <v>126.98</v>
      </c>
      <c r="L23">
        <v>128.97399999999999</v>
      </c>
      <c r="M23">
        <v>126.402</v>
      </c>
      <c r="N23">
        <v>124.473</v>
      </c>
      <c r="O23">
        <v>124.086</v>
      </c>
      <c r="P23">
        <v>125.45699999999999</v>
      </c>
      <c r="Q23">
        <v>123.54900000000001</v>
      </c>
      <c r="R23">
        <v>124.961</v>
      </c>
      <c r="S23">
        <v>140.78200000000001</v>
      </c>
    </row>
    <row r="24" spans="1:19" x14ac:dyDescent="0.3">
      <c r="A24" t="s">
        <v>34</v>
      </c>
      <c r="B24" t="s">
        <v>100</v>
      </c>
      <c r="C24" t="s">
        <v>16</v>
      </c>
      <c r="D24">
        <v>106.384</v>
      </c>
      <c r="E24">
        <v>107.328</v>
      </c>
      <c r="F24">
        <v>109.47199999999999</v>
      </c>
      <c r="G24">
        <v>109.712</v>
      </c>
      <c r="H24">
        <v>111.899</v>
      </c>
      <c r="I24">
        <v>107.756</v>
      </c>
      <c r="J24">
        <v>107.039</v>
      </c>
      <c r="K24">
        <v>108.746</v>
      </c>
      <c r="L24">
        <v>109.39100000000001</v>
      </c>
      <c r="M24">
        <v>110.247</v>
      </c>
      <c r="N24">
        <v>112.03</v>
      </c>
      <c r="O24">
        <v>115.009</v>
      </c>
      <c r="P24">
        <v>116.696</v>
      </c>
      <c r="Q24">
        <v>116.712</v>
      </c>
      <c r="R24">
        <v>119</v>
      </c>
      <c r="S24">
        <v>123.4</v>
      </c>
    </row>
    <row r="25" spans="1:19" x14ac:dyDescent="0.3">
      <c r="A25" t="s">
        <v>33</v>
      </c>
      <c r="B25" t="s">
        <v>100</v>
      </c>
      <c r="C25" t="s">
        <v>16</v>
      </c>
      <c r="D25">
        <v>127.786</v>
      </c>
      <c r="E25">
        <v>132.99</v>
      </c>
      <c r="F25">
        <v>111.524</v>
      </c>
      <c r="G25">
        <v>115.425</v>
      </c>
      <c r="H25">
        <v>116.837</v>
      </c>
      <c r="I25">
        <v>113.35899999999999</v>
      </c>
      <c r="J25">
        <v>114.655</v>
      </c>
      <c r="K25">
        <v>114.313</v>
      </c>
      <c r="L25">
        <v>112.964</v>
      </c>
      <c r="M25">
        <v>111.84699999999999</v>
      </c>
      <c r="N25">
        <v>113.874</v>
      </c>
      <c r="O25">
        <v>114.85899999999999</v>
      </c>
      <c r="P25">
        <v>115.146</v>
      </c>
      <c r="Q25">
        <v>114.276</v>
      </c>
      <c r="R25">
        <v>119.76900000000001</v>
      </c>
      <c r="S25">
        <v>122.801</v>
      </c>
    </row>
    <row r="26" spans="1:19" x14ac:dyDescent="0.3">
      <c r="A26" t="s">
        <v>25</v>
      </c>
      <c r="B26" t="s">
        <v>100</v>
      </c>
      <c r="C26" t="s">
        <v>16</v>
      </c>
      <c r="D26">
        <v>97.744600000000005</v>
      </c>
      <c r="E26">
        <v>118.10599999999999</v>
      </c>
      <c r="F26">
        <v>121.98099999999999</v>
      </c>
      <c r="G26">
        <v>119.221</v>
      </c>
      <c r="H26">
        <v>115.47199999999999</v>
      </c>
      <c r="I26">
        <v>113.30200000000001</v>
      </c>
      <c r="J26">
        <v>114.191</v>
      </c>
      <c r="K26">
        <v>114.783</v>
      </c>
      <c r="L26">
        <v>116.35</v>
      </c>
      <c r="M26">
        <v>115.791</v>
      </c>
      <c r="N26">
        <v>113.767</v>
      </c>
      <c r="O26">
        <v>115.492</v>
      </c>
      <c r="P26">
        <v>116.252</v>
      </c>
      <c r="Q26">
        <v>116.47799999999999</v>
      </c>
      <c r="R26">
        <v>119.123</v>
      </c>
      <c r="S26">
        <v>121.142</v>
      </c>
    </row>
    <row r="27" spans="1:19" x14ac:dyDescent="0.3">
      <c r="A27" t="s">
        <v>35</v>
      </c>
      <c r="B27" t="s">
        <v>100</v>
      </c>
      <c r="C27" t="s">
        <v>16</v>
      </c>
      <c r="D27">
        <v>101.06</v>
      </c>
      <c r="E27">
        <v>105.901</v>
      </c>
      <c r="F27">
        <v>108.9</v>
      </c>
      <c r="G27">
        <v>111.13200000000001</v>
      </c>
      <c r="H27">
        <v>113.202</v>
      </c>
      <c r="I27">
        <v>110.85599999999999</v>
      </c>
      <c r="J27">
        <v>110.349</v>
      </c>
      <c r="K27">
        <v>113.6</v>
      </c>
      <c r="L27">
        <v>113.292</v>
      </c>
      <c r="M27">
        <v>110.749</v>
      </c>
      <c r="N27">
        <v>99.830399999999997</v>
      </c>
      <c r="O27">
        <v>100.164</v>
      </c>
      <c r="P27">
        <v>100.16500000000001</v>
      </c>
      <c r="Q27">
        <v>99.9101</v>
      </c>
      <c r="R27">
        <v>101.46299999999999</v>
      </c>
      <c r="S27">
        <v>101.68</v>
      </c>
    </row>
    <row r="28" spans="1:19" x14ac:dyDescent="0.3">
      <c r="A28" t="s">
        <v>24</v>
      </c>
      <c r="B28" t="s">
        <v>100</v>
      </c>
      <c r="C28" t="s">
        <v>16</v>
      </c>
      <c r="D28">
        <v>127.967</v>
      </c>
      <c r="E28">
        <v>132.779</v>
      </c>
      <c r="F28">
        <v>125.349</v>
      </c>
      <c r="G28">
        <v>123.605</v>
      </c>
      <c r="H28">
        <v>125.46</v>
      </c>
      <c r="I28">
        <v>128.69</v>
      </c>
      <c r="J28">
        <v>130.52099999999999</v>
      </c>
      <c r="K28">
        <v>132.28899999999999</v>
      </c>
      <c r="L28">
        <v>118.34</v>
      </c>
      <c r="M28">
        <v>118.544</v>
      </c>
      <c r="N28">
        <v>119.874</v>
      </c>
      <c r="O28">
        <v>120.432</v>
      </c>
      <c r="P28">
        <v>124.126</v>
      </c>
      <c r="Q28">
        <v>123.21899999999999</v>
      </c>
      <c r="R28">
        <v>126.173</v>
      </c>
      <c r="S28">
        <v>128.10499999999999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8198-2B1C-4C11-8081-9389F9B89999}">
  <dimension ref="A1:R28"/>
  <sheetViews>
    <sheetView workbookViewId="0">
      <selection activeCell="F38" sqref="F38"/>
    </sheetView>
  </sheetViews>
  <sheetFormatPr defaultRowHeight="14.4" x14ac:dyDescent="0.3"/>
  <sheetData>
    <row r="1" spans="1:18" x14ac:dyDescent="0.3">
      <c r="A1" t="s">
        <v>13</v>
      </c>
      <c r="B1" t="s">
        <v>101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</row>
    <row r="2" spans="1:18" x14ac:dyDescent="0.3">
      <c r="A2" t="s">
        <v>27</v>
      </c>
      <c r="B2" t="s">
        <v>102</v>
      </c>
      <c r="C2">
        <v>4.1470000000000002</v>
      </c>
      <c r="D2">
        <v>3.6150000000000002</v>
      </c>
      <c r="E2">
        <v>4.7009999999999996</v>
      </c>
      <c r="F2">
        <v>4.4109999999999996</v>
      </c>
      <c r="G2">
        <v>4.016</v>
      </c>
      <c r="H2">
        <v>4.4359999999999999</v>
      </c>
      <c r="I2">
        <v>4.7480000000000002</v>
      </c>
      <c r="J2">
        <v>5.0720000000000001</v>
      </c>
      <c r="K2">
        <v>5.508</v>
      </c>
      <c r="L2">
        <v>5.8220000000000001</v>
      </c>
      <c r="M2">
        <v>5.1050000000000004</v>
      </c>
      <c r="N2">
        <v>4.3109999999999999</v>
      </c>
      <c r="O2">
        <v>3.9969999999999999</v>
      </c>
      <c r="P2">
        <v>4.8849999999999998</v>
      </c>
      <c r="Q2">
        <v>6.0449999999999999</v>
      </c>
      <c r="R2">
        <v>4.2409999999999997</v>
      </c>
    </row>
    <row r="3" spans="1:18" x14ac:dyDescent="0.3">
      <c r="A3" t="s">
        <v>35</v>
      </c>
      <c r="B3" t="s">
        <v>102</v>
      </c>
      <c r="C3">
        <v>7.5919999999999996</v>
      </c>
      <c r="D3">
        <v>6.94</v>
      </c>
      <c r="E3">
        <v>8.0709999999999997</v>
      </c>
      <c r="F3">
        <v>8.1349999999999998</v>
      </c>
      <c r="G3">
        <v>6.7750000000000004</v>
      </c>
      <c r="H3">
        <v>7.7510000000000003</v>
      </c>
      <c r="I3">
        <v>8.2140000000000004</v>
      </c>
      <c r="J3">
        <v>8.7940000000000005</v>
      </c>
      <c r="K3">
        <v>8.6989999999999998</v>
      </c>
      <c r="L3">
        <v>8.0449999999999999</v>
      </c>
      <c r="M3">
        <v>7.1130000000000004</v>
      </c>
      <c r="N3">
        <v>5.9509999999999996</v>
      </c>
      <c r="O3">
        <v>5.3019999999999996</v>
      </c>
      <c r="P3">
        <v>5.7320000000000002</v>
      </c>
      <c r="Q3">
        <v>6.9720000000000004</v>
      </c>
      <c r="R3">
        <v>6.32</v>
      </c>
    </row>
    <row r="4" spans="1:18" x14ac:dyDescent="0.3">
      <c r="A4" t="s">
        <v>40</v>
      </c>
      <c r="B4" t="s">
        <v>102</v>
      </c>
      <c r="C4">
        <v>5.7610000000000001</v>
      </c>
      <c r="D4">
        <v>4.5140000000000002</v>
      </c>
      <c r="E4">
        <v>6.1589999999999998</v>
      </c>
      <c r="F4">
        <v>9.6920000000000002</v>
      </c>
      <c r="G4">
        <v>10.462</v>
      </c>
      <c r="H4">
        <v>11.667</v>
      </c>
      <c r="I4">
        <v>12.33</v>
      </c>
      <c r="J4">
        <v>10.647</v>
      </c>
      <c r="K4">
        <v>8.3260000000000005</v>
      </c>
      <c r="L4">
        <v>6.718</v>
      </c>
      <c r="M4">
        <v>5.26</v>
      </c>
      <c r="N4">
        <v>4.5060000000000002</v>
      </c>
      <c r="O4">
        <v>3.3879999999999999</v>
      </c>
      <c r="P4">
        <v>4.7069999999999999</v>
      </c>
      <c r="Q4">
        <v>4.915</v>
      </c>
      <c r="R4">
        <v>4.024</v>
      </c>
    </row>
    <row r="5" spans="1:18" x14ac:dyDescent="0.3">
      <c r="A5" t="s">
        <v>30</v>
      </c>
      <c r="B5" t="s">
        <v>102</v>
      </c>
      <c r="C5">
        <v>3.915</v>
      </c>
      <c r="D5">
        <v>3.7290000000000001</v>
      </c>
      <c r="E5">
        <v>5.84</v>
      </c>
      <c r="F5">
        <v>6.4489999999999998</v>
      </c>
      <c r="G5">
        <v>8.8780000000000001</v>
      </c>
      <c r="H5">
        <v>13.06</v>
      </c>
      <c r="I5">
        <v>17.434000000000001</v>
      </c>
      <c r="J5">
        <v>18.396000000000001</v>
      </c>
      <c r="K5">
        <v>16.675999999999998</v>
      </c>
      <c r="L5">
        <v>14.321</v>
      </c>
      <c r="M5">
        <v>11.467000000000001</v>
      </c>
      <c r="N5">
        <v>8.9969999999999999</v>
      </c>
      <c r="O5">
        <v>8.0570000000000004</v>
      </c>
      <c r="P5">
        <v>8.6920000000000002</v>
      </c>
      <c r="Q5">
        <v>8.81</v>
      </c>
      <c r="R5">
        <v>7.7839999999999998</v>
      </c>
    </row>
    <row r="6" spans="1:18" x14ac:dyDescent="0.3">
      <c r="A6" t="s">
        <v>24</v>
      </c>
      <c r="B6" t="s">
        <v>102</v>
      </c>
      <c r="C6">
        <v>4.7130000000000001</v>
      </c>
      <c r="D6">
        <v>3.673</v>
      </c>
      <c r="E6">
        <v>6.1429999999999998</v>
      </c>
      <c r="F6">
        <v>6.9710000000000001</v>
      </c>
      <c r="G6">
        <v>6.4459999999999997</v>
      </c>
      <c r="H6">
        <v>6.585</v>
      </c>
      <c r="I6">
        <v>6.9290000000000003</v>
      </c>
      <c r="J6">
        <v>6.0179999999999998</v>
      </c>
      <c r="K6">
        <v>4.702</v>
      </c>
      <c r="L6">
        <v>3.4980000000000002</v>
      </c>
      <c r="M6">
        <v>2.6909999999999998</v>
      </c>
      <c r="N6">
        <v>2.0590000000000002</v>
      </c>
      <c r="O6">
        <v>1.7490000000000001</v>
      </c>
      <c r="P6">
        <v>2.3940000000000001</v>
      </c>
      <c r="Q6">
        <v>2.6859999999999999</v>
      </c>
      <c r="R6">
        <v>2.0379999999999998</v>
      </c>
    </row>
    <row r="7" spans="1:18" x14ac:dyDescent="0.3">
      <c r="A7" t="s">
        <v>41</v>
      </c>
      <c r="B7" t="s">
        <v>102</v>
      </c>
      <c r="C7">
        <v>8.2490000000000006</v>
      </c>
      <c r="D7">
        <v>7.2220000000000004</v>
      </c>
      <c r="E7">
        <v>7.5990000000000002</v>
      </c>
      <c r="F7">
        <v>6.83</v>
      </c>
      <c r="G7">
        <v>5.7030000000000003</v>
      </c>
      <c r="H7">
        <v>5.2290000000000001</v>
      </c>
      <c r="I7">
        <v>5.085</v>
      </c>
      <c r="J7">
        <v>4.6319999999999997</v>
      </c>
      <c r="K7">
        <v>4.2380000000000004</v>
      </c>
      <c r="L7">
        <v>3.6890000000000001</v>
      </c>
      <c r="M7">
        <v>3.294</v>
      </c>
      <c r="N7">
        <v>2.8809999999999998</v>
      </c>
      <c r="O7">
        <v>2.71</v>
      </c>
      <c r="P7">
        <v>3.238</v>
      </c>
      <c r="Q7">
        <v>3.141</v>
      </c>
      <c r="R7">
        <v>2.7109999999999999</v>
      </c>
    </row>
    <row r="8" spans="1:18" x14ac:dyDescent="0.3">
      <c r="A8" t="s">
        <v>31</v>
      </c>
      <c r="B8" t="s">
        <v>102</v>
      </c>
      <c r="C8">
        <v>2.996</v>
      </c>
      <c r="D8">
        <v>2.96</v>
      </c>
      <c r="E8">
        <v>5.91</v>
      </c>
      <c r="F8">
        <v>7.0730000000000004</v>
      </c>
      <c r="G8">
        <v>6.7859999999999996</v>
      </c>
      <c r="H8">
        <v>6.9050000000000002</v>
      </c>
      <c r="I8">
        <v>6.5510000000000002</v>
      </c>
      <c r="J8">
        <v>6.1340000000000003</v>
      </c>
      <c r="K8">
        <v>5.38</v>
      </c>
      <c r="L8">
        <v>5.1340000000000003</v>
      </c>
      <c r="M8">
        <v>4.681</v>
      </c>
      <c r="N8">
        <v>4.08</v>
      </c>
      <c r="O8">
        <v>4.1189999999999998</v>
      </c>
      <c r="P8">
        <v>4.7750000000000004</v>
      </c>
      <c r="Q8">
        <v>4.46</v>
      </c>
      <c r="R8">
        <v>3.7389999999999999</v>
      </c>
    </row>
    <row r="9" spans="1:18" x14ac:dyDescent="0.3">
      <c r="A9" t="s">
        <v>34</v>
      </c>
      <c r="B9" t="s">
        <v>102</v>
      </c>
      <c r="C9">
        <v>8.14</v>
      </c>
      <c r="D9">
        <v>10.449</v>
      </c>
      <c r="E9">
        <v>16.832000000000001</v>
      </c>
      <c r="F9">
        <v>18.972999999999999</v>
      </c>
      <c r="G9">
        <v>21.166</v>
      </c>
      <c r="H9">
        <v>24.103999999999999</v>
      </c>
      <c r="I9">
        <v>25.852</v>
      </c>
      <c r="J9">
        <v>24.158000000000001</v>
      </c>
      <c r="K9">
        <v>21.576000000000001</v>
      </c>
      <c r="L9">
        <v>19.164000000000001</v>
      </c>
      <c r="M9">
        <v>16.974</v>
      </c>
      <c r="N9">
        <v>15.477</v>
      </c>
      <c r="O9">
        <v>14.489000000000001</v>
      </c>
      <c r="P9">
        <v>16.504999999999999</v>
      </c>
      <c r="Q9">
        <v>16.062999999999999</v>
      </c>
      <c r="R9">
        <v>14.064</v>
      </c>
    </row>
    <row r="10" spans="1:18" x14ac:dyDescent="0.3">
      <c r="A10" t="s">
        <v>36</v>
      </c>
      <c r="B10" t="s">
        <v>102</v>
      </c>
      <c r="C10">
        <v>10.93</v>
      </c>
      <c r="D10">
        <v>11.964</v>
      </c>
      <c r="E10">
        <v>27.774999999999999</v>
      </c>
      <c r="F10">
        <v>30.004999999999999</v>
      </c>
      <c r="G10">
        <v>25.486000000000001</v>
      </c>
      <c r="H10">
        <v>22.863</v>
      </c>
      <c r="I10">
        <v>14.571999999999999</v>
      </c>
      <c r="J10">
        <v>12.79</v>
      </c>
      <c r="K10">
        <v>12.286</v>
      </c>
      <c r="L10">
        <v>12.887</v>
      </c>
      <c r="M10">
        <v>10.769</v>
      </c>
      <c r="N10">
        <v>10.536</v>
      </c>
      <c r="O10">
        <v>9.6440000000000001</v>
      </c>
      <c r="P10">
        <v>13.567</v>
      </c>
      <c r="Q10">
        <v>14.234</v>
      </c>
      <c r="R10">
        <v>12.007</v>
      </c>
    </row>
    <row r="11" spans="1:18" x14ac:dyDescent="0.3">
      <c r="A11" t="s">
        <v>23</v>
      </c>
      <c r="B11" t="s">
        <v>102</v>
      </c>
      <c r="C11">
        <v>7.0410000000000004</v>
      </c>
      <c r="D11">
        <v>6.383</v>
      </c>
      <c r="E11">
        <v>9.1460000000000008</v>
      </c>
      <c r="F11">
        <v>8.9250000000000007</v>
      </c>
      <c r="G11">
        <v>8.1780000000000008</v>
      </c>
      <c r="H11">
        <v>8.2010000000000005</v>
      </c>
      <c r="I11">
        <v>8.7560000000000002</v>
      </c>
      <c r="J11">
        <v>9.4</v>
      </c>
      <c r="K11">
        <v>10.243</v>
      </c>
      <c r="L11">
        <v>9.51</v>
      </c>
      <c r="M11">
        <v>9.4220000000000006</v>
      </c>
      <c r="N11">
        <v>8.2810000000000006</v>
      </c>
      <c r="O11">
        <v>7.1970000000000001</v>
      </c>
      <c r="P11">
        <v>8.91</v>
      </c>
      <c r="Q11">
        <v>7.976</v>
      </c>
      <c r="R11">
        <v>7.1180000000000003</v>
      </c>
    </row>
    <row r="12" spans="1:18" x14ac:dyDescent="0.3">
      <c r="A12" t="s">
        <v>14</v>
      </c>
      <c r="B12" t="s">
        <v>102</v>
      </c>
      <c r="C12">
        <v>7.149</v>
      </c>
      <c r="D12">
        <v>6.9109999999999996</v>
      </c>
      <c r="E12">
        <v>8.7970000000000006</v>
      </c>
      <c r="F12">
        <v>8.7409999999999997</v>
      </c>
      <c r="G12">
        <v>8.9</v>
      </c>
      <c r="H12">
        <v>9.8420000000000005</v>
      </c>
      <c r="I12">
        <v>10.116</v>
      </c>
      <c r="J12">
        <v>10.624000000000001</v>
      </c>
      <c r="K12">
        <v>10.798999999999999</v>
      </c>
      <c r="L12">
        <v>10.663</v>
      </c>
      <c r="M12">
        <v>10.071</v>
      </c>
      <c r="N12">
        <v>9.6539999999999999</v>
      </c>
      <c r="O12">
        <v>9.1449999999999996</v>
      </c>
      <c r="P12">
        <v>8.8539999999999992</v>
      </c>
      <c r="Q12">
        <v>8.4809999999999999</v>
      </c>
      <c r="R12">
        <v>8.1790000000000003</v>
      </c>
    </row>
    <row r="13" spans="1:18" x14ac:dyDescent="0.3">
      <c r="A13" t="s">
        <v>32</v>
      </c>
      <c r="B13" t="s">
        <v>102</v>
      </c>
      <c r="C13">
        <v>9.7309999999999999</v>
      </c>
      <c r="D13">
        <v>8.8559999999999999</v>
      </c>
      <c r="E13">
        <v>11.019</v>
      </c>
      <c r="F13">
        <v>14.606999999999999</v>
      </c>
      <c r="G13">
        <v>20.423999999999999</v>
      </c>
      <c r="H13">
        <v>27.89</v>
      </c>
      <c r="I13">
        <v>31.251000000000001</v>
      </c>
      <c r="J13">
        <v>30.091000000000001</v>
      </c>
      <c r="K13">
        <v>27.638999999999999</v>
      </c>
      <c r="L13">
        <v>26.108000000000001</v>
      </c>
      <c r="M13">
        <v>23.844000000000001</v>
      </c>
      <c r="N13">
        <v>21.605</v>
      </c>
      <c r="O13">
        <v>19.233000000000001</v>
      </c>
      <c r="P13">
        <v>18.181999999999999</v>
      </c>
      <c r="Q13">
        <v>16.986000000000001</v>
      </c>
      <c r="R13">
        <v>14.506</v>
      </c>
    </row>
    <row r="14" spans="1:18" x14ac:dyDescent="0.3">
      <c r="A14" t="s">
        <v>19</v>
      </c>
      <c r="B14" t="s">
        <v>102</v>
      </c>
      <c r="C14">
        <v>10.131</v>
      </c>
      <c r="D14">
        <v>9.1709999999999994</v>
      </c>
      <c r="E14">
        <v>9.9540000000000006</v>
      </c>
      <c r="F14">
        <v>12.371</v>
      </c>
      <c r="G14">
        <v>14.176</v>
      </c>
      <c r="H14">
        <v>17.251999999999999</v>
      </c>
      <c r="I14">
        <v>18.648</v>
      </c>
      <c r="J14">
        <v>18.68</v>
      </c>
      <c r="K14">
        <v>18.042000000000002</v>
      </c>
      <c r="L14">
        <v>14.586</v>
      </c>
      <c r="M14">
        <v>11.691000000000001</v>
      </c>
      <c r="N14">
        <v>9.1349999999999998</v>
      </c>
      <c r="O14">
        <v>6.9059999999999997</v>
      </c>
      <c r="P14">
        <v>8.1999999999999993</v>
      </c>
      <c r="Q14">
        <v>8.4499999999999993</v>
      </c>
      <c r="R14">
        <v>7.1849999999999996</v>
      </c>
    </row>
    <row r="15" spans="1:18" x14ac:dyDescent="0.3">
      <c r="A15" t="s">
        <v>28</v>
      </c>
      <c r="B15" t="s">
        <v>102</v>
      </c>
      <c r="C15">
        <v>6.6890000000000001</v>
      </c>
      <c r="D15">
        <v>7.1159999999999997</v>
      </c>
      <c r="E15">
        <v>9.4049999999999994</v>
      </c>
      <c r="F15">
        <v>10.557</v>
      </c>
      <c r="G15">
        <v>10.661</v>
      </c>
      <c r="H15">
        <v>10.754</v>
      </c>
      <c r="I15">
        <v>10.000999999999999</v>
      </c>
      <c r="J15">
        <v>7.3789999999999996</v>
      </c>
      <c r="K15">
        <v>6.4009999999999998</v>
      </c>
      <c r="L15">
        <v>4.76</v>
      </c>
      <c r="M15">
        <v>3.7450000000000001</v>
      </c>
      <c r="N15">
        <v>3.3460000000000001</v>
      </c>
      <c r="O15">
        <v>3.0190000000000001</v>
      </c>
      <c r="P15">
        <v>4.1159999999999997</v>
      </c>
      <c r="Q15">
        <v>3.9420000000000002</v>
      </c>
      <c r="R15">
        <v>3.306</v>
      </c>
    </row>
    <row r="16" spans="1:18" x14ac:dyDescent="0.3">
      <c r="A16" t="s">
        <v>18</v>
      </c>
      <c r="B16" t="s">
        <v>102</v>
      </c>
      <c r="C16">
        <v>4.8929999999999998</v>
      </c>
      <c r="D16">
        <v>7.0629999999999997</v>
      </c>
      <c r="E16">
        <v>14.704000000000001</v>
      </c>
      <c r="F16">
        <v>17.268000000000001</v>
      </c>
      <c r="G16">
        <v>18.588999999999999</v>
      </c>
      <c r="H16">
        <v>18.951000000000001</v>
      </c>
      <c r="I16">
        <v>17.242999999999999</v>
      </c>
      <c r="J16">
        <v>14.715999999999999</v>
      </c>
      <c r="K16">
        <v>12.401</v>
      </c>
      <c r="L16">
        <v>10.07</v>
      </c>
      <c r="M16">
        <v>8.4269999999999996</v>
      </c>
      <c r="N16">
        <v>6.9240000000000004</v>
      </c>
      <c r="O16">
        <v>5.952</v>
      </c>
      <c r="P16">
        <v>6.9029999999999996</v>
      </c>
      <c r="Q16">
        <v>7.85</v>
      </c>
      <c r="R16">
        <v>5.2389999999999999</v>
      </c>
    </row>
    <row r="17" spans="1:18" x14ac:dyDescent="0.3">
      <c r="A17" t="s">
        <v>37</v>
      </c>
      <c r="B17" t="s">
        <v>102</v>
      </c>
      <c r="C17">
        <v>5.593</v>
      </c>
      <c r="D17">
        <v>6.12</v>
      </c>
      <c r="E17">
        <v>7.2450000000000001</v>
      </c>
      <c r="F17">
        <v>7.8780000000000001</v>
      </c>
      <c r="G17">
        <v>7.8129999999999997</v>
      </c>
      <c r="H17">
        <v>10.013</v>
      </c>
      <c r="I17">
        <v>11.420999999999999</v>
      </c>
      <c r="J17">
        <v>11.914</v>
      </c>
      <c r="K17">
        <v>11.388</v>
      </c>
      <c r="L17">
        <v>11.077999999999999</v>
      </c>
      <c r="M17">
        <v>10.465999999999999</v>
      </c>
      <c r="N17">
        <v>10.115</v>
      </c>
      <c r="O17">
        <v>9.4369999999999994</v>
      </c>
      <c r="P17">
        <v>8.7360000000000007</v>
      </c>
      <c r="Q17">
        <v>9.2029999999999994</v>
      </c>
      <c r="R17">
        <v>7.7530000000000001</v>
      </c>
    </row>
    <row r="18" spans="1:18" x14ac:dyDescent="0.3">
      <c r="A18" t="s">
        <v>21</v>
      </c>
      <c r="B18" t="s">
        <v>102</v>
      </c>
      <c r="C18">
        <v>4.9729999999999999</v>
      </c>
      <c r="D18">
        <v>6.7050000000000001</v>
      </c>
      <c r="E18">
        <v>16.363</v>
      </c>
      <c r="F18">
        <v>21.773</v>
      </c>
      <c r="G18">
        <v>19.007999999999999</v>
      </c>
      <c r="H18">
        <v>16.417999999999999</v>
      </c>
      <c r="I18">
        <v>14.343999999999999</v>
      </c>
      <c r="J18">
        <v>13.46</v>
      </c>
      <c r="K18">
        <v>11.67</v>
      </c>
      <c r="L18">
        <v>10.377000000000001</v>
      </c>
      <c r="M18">
        <v>9.3140000000000001</v>
      </c>
      <c r="N18">
        <v>7.9939999999999998</v>
      </c>
      <c r="O18">
        <v>8.298</v>
      </c>
      <c r="P18">
        <v>11.364000000000001</v>
      </c>
      <c r="Q18">
        <v>9.2870000000000008</v>
      </c>
      <c r="R18">
        <v>7.58</v>
      </c>
    </row>
    <row r="19" spans="1:18" x14ac:dyDescent="0.3">
      <c r="A19" t="s">
        <v>26</v>
      </c>
      <c r="B19" t="s">
        <v>102</v>
      </c>
      <c r="C19">
        <v>3.355</v>
      </c>
      <c r="D19">
        <v>5.8929999999999998</v>
      </c>
      <c r="E19">
        <v>4.3209999999999997</v>
      </c>
      <c r="F19">
        <v>4.0259999999999998</v>
      </c>
      <c r="G19">
        <v>4.3860000000000001</v>
      </c>
      <c r="H19">
        <v>5.15</v>
      </c>
      <c r="I19">
        <v>5.8520000000000003</v>
      </c>
      <c r="J19">
        <v>6.3010000000000002</v>
      </c>
      <c r="K19">
        <v>6.25</v>
      </c>
      <c r="L19">
        <v>6.7279999999999998</v>
      </c>
      <c r="M19">
        <v>5.3319999999999999</v>
      </c>
      <c r="N19">
        <v>5.5709999999999997</v>
      </c>
      <c r="O19">
        <v>6.2370000000000001</v>
      </c>
      <c r="P19">
        <v>6.8789999999999996</v>
      </c>
      <c r="Q19">
        <v>5.4489999999999998</v>
      </c>
      <c r="R19">
        <v>4.0359999999999996</v>
      </c>
    </row>
    <row r="20" spans="1:18" x14ac:dyDescent="0.3">
      <c r="A20" t="s">
        <v>38</v>
      </c>
      <c r="B20" t="s">
        <v>102</v>
      </c>
      <c r="C20">
        <v>5.7789999999999999</v>
      </c>
      <c r="D20">
        <v>7.7539999999999996</v>
      </c>
      <c r="E20">
        <v>18.914000000000001</v>
      </c>
      <c r="F20">
        <v>21.09</v>
      </c>
      <c r="G20">
        <v>18.247</v>
      </c>
      <c r="H20">
        <v>17.574999999999999</v>
      </c>
      <c r="I20">
        <v>13.077</v>
      </c>
      <c r="J20">
        <v>11.669</v>
      </c>
      <c r="K20">
        <v>10.837999999999999</v>
      </c>
      <c r="L20">
        <v>11.304</v>
      </c>
      <c r="M20">
        <v>10.195</v>
      </c>
      <c r="N20">
        <v>8.4930000000000003</v>
      </c>
      <c r="O20">
        <v>7.0869999999999997</v>
      </c>
      <c r="P20">
        <v>8.7590000000000003</v>
      </c>
      <c r="Q20">
        <v>8.82</v>
      </c>
      <c r="R20">
        <v>7.766</v>
      </c>
    </row>
    <row r="21" spans="1:18" x14ac:dyDescent="0.3">
      <c r="A21" t="s">
        <v>39</v>
      </c>
      <c r="B21" t="s">
        <v>102</v>
      </c>
      <c r="C21">
        <v>5.056</v>
      </c>
      <c r="D21">
        <v>4.1879999999999997</v>
      </c>
      <c r="E21">
        <v>5.6260000000000003</v>
      </c>
      <c r="F21">
        <v>5.85</v>
      </c>
      <c r="G21">
        <v>5.4470000000000001</v>
      </c>
      <c r="H21">
        <v>4.4720000000000004</v>
      </c>
      <c r="I21">
        <v>4.2409999999999997</v>
      </c>
      <c r="J21">
        <v>3.9089999999999998</v>
      </c>
      <c r="K21">
        <v>3.8140000000000001</v>
      </c>
      <c r="L21">
        <v>3.8690000000000002</v>
      </c>
      <c r="M21">
        <v>3.47</v>
      </c>
      <c r="N21">
        <v>3.5049999999999999</v>
      </c>
      <c r="O21">
        <v>3.7130000000000001</v>
      </c>
      <c r="P21">
        <v>4.2249999999999996</v>
      </c>
      <c r="Q21">
        <v>3.8119999999999998</v>
      </c>
      <c r="R21">
        <v>3.4159999999999999</v>
      </c>
    </row>
    <row r="22" spans="1:18" x14ac:dyDescent="0.3">
      <c r="A22" t="s">
        <v>22</v>
      </c>
      <c r="B22" t="s">
        <v>102</v>
      </c>
      <c r="C22">
        <v>3.85</v>
      </c>
      <c r="D22">
        <v>3.2970000000000002</v>
      </c>
      <c r="E22">
        <v>3.9049999999999998</v>
      </c>
      <c r="F22">
        <v>4.4749999999999996</v>
      </c>
      <c r="G22">
        <v>4.5590000000000002</v>
      </c>
      <c r="H22">
        <v>5.5119999999999996</v>
      </c>
      <c r="I22">
        <v>7.2569999999999997</v>
      </c>
      <c r="J22">
        <v>7.48</v>
      </c>
      <c r="K22">
        <v>6.9880000000000004</v>
      </c>
      <c r="L22">
        <v>6.0389999999999997</v>
      </c>
      <c r="M22">
        <v>4.7549999999999999</v>
      </c>
      <c r="N22">
        <v>3.64</v>
      </c>
      <c r="O22">
        <v>3.1859999999999999</v>
      </c>
      <c r="P22">
        <v>3.681</v>
      </c>
      <c r="Q22">
        <v>4.0090000000000003</v>
      </c>
      <c r="R22">
        <v>3.27</v>
      </c>
    </row>
    <row r="23" spans="1:18" x14ac:dyDescent="0.3">
      <c r="A23" t="s">
        <v>29</v>
      </c>
      <c r="B23" t="s">
        <v>102</v>
      </c>
      <c r="C23">
        <v>10.289</v>
      </c>
      <c r="D23">
        <v>7.5330000000000004</v>
      </c>
      <c r="E23">
        <v>8.718</v>
      </c>
      <c r="F23">
        <v>10.499000000000001</v>
      </c>
      <c r="G23">
        <v>10.419</v>
      </c>
      <c r="H23">
        <v>10.965999999999999</v>
      </c>
      <c r="I23">
        <v>11.388</v>
      </c>
      <c r="J23">
        <v>10.086</v>
      </c>
      <c r="K23">
        <v>8.3659999999999997</v>
      </c>
      <c r="L23">
        <v>6.915</v>
      </c>
      <c r="M23">
        <v>5.5960000000000001</v>
      </c>
      <c r="N23">
        <v>4.3920000000000003</v>
      </c>
      <c r="O23">
        <v>3.617</v>
      </c>
      <c r="P23">
        <v>3.4769999999999999</v>
      </c>
      <c r="Q23">
        <v>3.9580000000000002</v>
      </c>
      <c r="R23">
        <v>3.4550000000000001</v>
      </c>
    </row>
    <row r="24" spans="1:18" x14ac:dyDescent="0.3">
      <c r="A24" t="s">
        <v>33</v>
      </c>
      <c r="B24" t="s">
        <v>102</v>
      </c>
      <c r="C24">
        <v>8.11</v>
      </c>
      <c r="D24">
        <v>7.7569999999999997</v>
      </c>
      <c r="E24">
        <v>9.6349999999999998</v>
      </c>
      <c r="F24">
        <v>11.364000000000001</v>
      </c>
      <c r="G24">
        <v>13.398</v>
      </c>
      <c r="H24">
        <v>17.635999999999999</v>
      </c>
      <c r="I24">
        <v>17.393000000000001</v>
      </c>
      <c r="J24">
        <v>15.266999999999999</v>
      </c>
      <c r="K24">
        <v>13.941000000000001</v>
      </c>
      <c r="L24">
        <v>12.25</v>
      </c>
      <c r="M24">
        <v>9.9160000000000004</v>
      </c>
      <c r="N24">
        <v>8.234</v>
      </c>
      <c r="O24">
        <v>7.2220000000000004</v>
      </c>
      <c r="P24">
        <v>8.3620000000000001</v>
      </c>
      <c r="Q24">
        <v>7.9269999999999996</v>
      </c>
      <c r="R24">
        <v>6.8789999999999996</v>
      </c>
    </row>
    <row r="25" spans="1:18" x14ac:dyDescent="0.3">
      <c r="A25" t="s">
        <v>25</v>
      </c>
      <c r="B25" t="s">
        <v>102</v>
      </c>
      <c r="C25">
        <v>6.891</v>
      </c>
      <c r="D25">
        <v>5.9660000000000002</v>
      </c>
      <c r="E25">
        <v>7.2389999999999999</v>
      </c>
      <c r="F25">
        <v>7.9850000000000003</v>
      </c>
      <c r="G25">
        <v>7.8719999999999999</v>
      </c>
      <c r="H25">
        <v>7.3330000000000002</v>
      </c>
      <c r="I25">
        <v>7.7519999999999998</v>
      </c>
      <c r="J25">
        <v>7.17</v>
      </c>
      <c r="K25">
        <v>7.2229999999999999</v>
      </c>
      <c r="L25">
        <v>6.2220000000000004</v>
      </c>
      <c r="M25">
        <v>5.1470000000000002</v>
      </c>
      <c r="N25">
        <v>4.34</v>
      </c>
      <c r="O25">
        <v>3.9790000000000001</v>
      </c>
      <c r="P25">
        <v>5.1040000000000001</v>
      </c>
      <c r="Q25">
        <v>5.1130000000000004</v>
      </c>
      <c r="R25">
        <v>5.2060000000000004</v>
      </c>
    </row>
    <row r="26" spans="1:18" x14ac:dyDescent="0.3">
      <c r="A26" t="s">
        <v>42</v>
      </c>
      <c r="B26" t="s">
        <v>102</v>
      </c>
      <c r="C26">
        <v>8.5239999999999991</v>
      </c>
      <c r="D26">
        <v>7.3609999999999998</v>
      </c>
      <c r="E26">
        <v>10.173</v>
      </c>
      <c r="F26">
        <v>12.468</v>
      </c>
      <c r="G26">
        <v>13.256</v>
      </c>
      <c r="H26">
        <v>13.3</v>
      </c>
      <c r="I26">
        <v>13.849</v>
      </c>
      <c r="J26">
        <v>10.992000000000001</v>
      </c>
      <c r="K26">
        <v>10.961</v>
      </c>
      <c r="L26">
        <v>9.2070000000000007</v>
      </c>
      <c r="M26">
        <v>7.5720000000000001</v>
      </c>
      <c r="N26">
        <v>5.8079999999999998</v>
      </c>
      <c r="O26">
        <v>4.8230000000000004</v>
      </c>
      <c r="P26">
        <v>6.3230000000000004</v>
      </c>
      <c r="Q26">
        <v>6.4370000000000003</v>
      </c>
      <c r="R26">
        <v>5.6130000000000004</v>
      </c>
    </row>
    <row r="27" spans="1:18" x14ac:dyDescent="0.3">
      <c r="A27" t="s">
        <v>17</v>
      </c>
      <c r="B27" t="s">
        <v>102</v>
      </c>
      <c r="C27">
        <v>4.9550000000000001</v>
      </c>
      <c r="D27">
        <v>4.3550000000000004</v>
      </c>
      <c r="E27">
        <v>6.31</v>
      </c>
      <c r="F27">
        <v>7.5049999999999999</v>
      </c>
      <c r="G27">
        <v>8.6509999999999998</v>
      </c>
      <c r="H27">
        <v>9.0820000000000007</v>
      </c>
      <c r="I27">
        <v>10.714</v>
      </c>
      <c r="J27">
        <v>10.407</v>
      </c>
      <c r="K27">
        <v>9.9139999999999997</v>
      </c>
      <c r="L27">
        <v>8.0540000000000003</v>
      </c>
      <c r="M27">
        <v>6.6970000000000001</v>
      </c>
      <c r="N27">
        <v>5.4870000000000001</v>
      </c>
      <c r="O27">
        <v>4.6440000000000001</v>
      </c>
      <c r="P27">
        <v>5.5279999999999996</v>
      </c>
      <c r="Q27">
        <v>5.4059999999999997</v>
      </c>
      <c r="R27">
        <v>4.4630000000000001</v>
      </c>
    </row>
    <row r="28" spans="1:18" x14ac:dyDescent="0.3">
      <c r="A28" t="s">
        <v>20</v>
      </c>
      <c r="B28" t="s">
        <v>102</v>
      </c>
      <c r="C28">
        <v>5.367</v>
      </c>
      <c r="D28">
        <v>5.3760000000000003</v>
      </c>
      <c r="E28">
        <v>8.0190000000000001</v>
      </c>
      <c r="F28">
        <v>8.0960000000000001</v>
      </c>
      <c r="G28">
        <v>7.05</v>
      </c>
      <c r="H28">
        <v>7.1180000000000003</v>
      </c>
      <c r="I28">
        <v>7.133</v>
      </c>
      <c r="J28">
        <v>7.0030000000000001</v>
      </c>
      <c r="K28">
        <v>6.2229999999999999</v>
      </c>
      <c r="L28">
        <v>5.66</v>
      </c>
      <c r="M28">
        <v>5.1180000000000003</v>
      </c>
      <c r="N28">
        <v>4.6219999999999999</v>
      </c>
      <c r="O28">
        <v>5.0140000000000002</v>
      </c>
      <c r="P28">
        <v>6.3159999999999998</v>
      </c>
      <c r="Q28">
        <v>6.6680000000000001</v>
      </c>
      <c r="R28">
        <v>5.6550000000000002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2517-61A7-47C6-914B-63348189307E}">
  <dimension ref="A1:S28"/>
  <sheetViews>
    <sheetView workbookViewId="0">
      <selection activeCell="U23" sqref="U23"/>
    </sheetView>
  </sheetViews>
  <sheetFormatPr defaultRowHeight="14.4" x14ac:dyDescent="0.3"/>
  <sheetData>
    <row r="1" spans="1:19" x14ac:dyDescent="0.3">
      <c r="A1" t="s">
        <v>65</v>
      </c>
      <c r="B1" t="s">
        <v>43</v>
      </c>
      <c r="C1" t="s">
        <v>44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33</v>
      </c>
      <c r="B2" t="s">
        <v>66</v>
      </c>
      <c r="C2" t="s">
        <v>67</v>
      </c>
      <c r="D2">
        <v>1.1241699999999999</v>
      </c>
      <c r="E2">
        <v>1.4433499999999999</v>
      </c>
      <c r="F2">
        <v>1.5800099999999999</v>
      </c>
      <c r="G2">
        <v>1.53529</v>
      </c>
      <c r="H2">
        <v>1.4574100000000001</v>
      </c>
      <c r="I2">
        <v>1.3786099999999999</v>
      </c>
      <c r="J2">
        <v>1.3246800000000001</v>
      </c>
      <c r="K2">
        <v>1.28992</v>
      </c>
      <c r="L2">
        <v>1.2433000000000001</v>
      </c>
      <c r="M2">
        <v>1.2807500000000001</v>
      </c>
      <c r="N2">
        <v>1.31928</v>
      </c>
      <c r="O2">
        <v>1.34955</v>
      </c>
      <c r="P2">
        <v>1.3956200000000001</v>
      </c>
      <c r="Q2">
        <v>1.61392</v>
      </c>
      <c r="R2">
        <v>1.6705099999999999</v>
      </c>
      <c r="S2">
        <v>1.7017899999999999</v>
      </c>
    </row>
    <row r="3" spans="1:19" x14ac:dyDescent="0.3">
      <c r="A3" t="s">
        <v>40</v>
      </c>
      <c r="B3" t="s">
        <v>66</v>
      </c>
      <c r="C3" t="s">
        <v>67</v>
      </c>
      <c r="D3">
        <v>0.43003000000000002</v>
      </c>
      <c r="E3">
        <v>0.44730999999999999</v>
      </c>
      <c r="F3">
        <v>0.49337999999999999</v>
      </c>
      <c r="G3">
        <v>0.56298999999999999</v>
      </c>
      <c r="H3">
        <v>0.52949999999999997</v>
      </c>
      <c r="I3">
        <v>0.60038999999999998</v>
      </c>
      <c r="J3">
        <v>0.63424000000000003</v>
      </c>
      <c r="K3">
        <v>0.79007000000000005</v>
      </c>
      <c r="L3">
        <v>0.94947000000000004</v>
      </c>
      <c r="M3">
        <v>0.77009000000000005</v>
      </c>
      <c r="N3">
        <v>0.74036999999999997</v>
      </c>
      <c r="O3">
        <v>0.75412999999999997</v>
      </c>
      <c r="P3">
        <v>0.83274000000000004</v>
      </c>
      <c r="Q3">
        <v>0.84967000000000004</v>
      </c>
      <c r="R3">
        <v>0.77278000000000002</v>
      </c>
      <c r="S3">
        <v>0.75421000000000005</v>
      </c>
    </row>
    <row r="4" spans="1:19" x14ac:dyDescent="0.3">
      <c r="A4" t="s">
        <v>42</v>
      </c>
      <c r="B4" t="s">
        <v>66</v>
      </c>
      <c r="C4" t="s">
        <v>67</v>
      </c>
      <c r="D4">
        <v>0.44746000000000002</v>
      </c>
      <c r="E4">
        <v>0.46137</v>
      </c>
      <c r="F4">
        <v>0.47271999999999997</v>
      </c>
      <c r="G4">
        <v>0.60550000000000004</v>
      </c>
      <c r="H4">
        <v>0.65254999999999996</v>
      </c>
      <c r="I4">
        <v>0.79461000000000004</v>
      </c>
      <c r="J4">
        <v>0.82004999999999995</v>
      </c>
      <c r="K4">
        <v>0.877</v>
      </c>
      <c r="L4">
        <v>1.15727</v>
      </c>
      <c r="M4">
        <v>0.78856999999999999</v>
      </c>
      <c r="N4">
        <v>0.88456000000000001</v>
      </c>
      <c r="O4">
        <v>0.83555000000000001</v>
      </c>
      <c r="P4">
        <v>0.82240000000000002</v>
      </c>
      <c r="Q4">
        <v>0.89773000000000003</v>
      </c>
      <c r="R4">
        <v>0.91610999999999998</v>
      </c>
      <c r="S4">
        <v>0.97938999999999998</v>
      </c>
    </row>
    <row r="5" spans="1:19" x14ac:dyDescent="0.3">
      <c r="A5" t="s">
        <v>20</v>
      </c>
      <c r="B5" t="s">
        <v>66</v>
      </c>
      <c r="C5" t="s">
        <v>67</v>
      </c>
      <c r="D5">
        <v>3.2338300000000002</v>
      </c>
      <c r="E5">
        <v>3.4699900000000001</v>
      </c>
      <c r="F5">
        <v>3.3952800000000001</v>
      </c>
      <c r="G5">
        <v>3.1678899999999999</v>
      </c>
      <c r="H5">
        <v>3.18702</v>
      </c>
      <c r="I5">
        <v>3.2302499999999998</v>
      </c>
      <c r="J5">
        <v>3.2604199999999999</v>
      </c>
      <c r="K5">
        <v>3.1018400000000002</v>
      </c>
      <c r="L5">
        <v>3.2190300000000001</v>
      </c>
      <c r="M5">
        <v>3.24736</v>
      </c>
      <c r="N5">
        <v>3.3627899999999999</v>
      </c>
      <c r="O5">
        <v>3.3210600000000001</v>
      </c>
      <c r="P5">
        <v>3.3875799999999998</v>
      </c>
      <c r="Q5">
        <v>3.4895999999999998</v>
      </c>
      <c r="R5">
        <v>3.4021599999999999</v>
      </c>
      <c r="S5">
        <v>3.40822</v>
      </c>
    </row>
    <row r="6" spans="1:19" x14ac:dyDescent="0.3">
      <c r="A6" t="s">
        <v>25</v>
      </c>
      <c r="B6" t="s">
        <v>66</v>
      </c>
      <c r="C6" t="s">
        <v>67</v>
      </c>
      <c r="D6">
        <v>0.51148000000000005</v>
      </c>
      <c r="E6">
        <v>0.55215000000000003</v>
      </c>
      <c r="F6">
        <v>0.44395000000000001</v>
      </c>
      <c r="G6">
        <v>0.44666</v>
      </c>
      <c r="H6">
        <v>0.47459000000000001</v>
      </c>
      <c r="I6">
        <v>0.46239999999999998</v>
      </c>
      <c r="J6">
        <v>0.39023999999999998</v>
      </c>
      <c r="K6">
        <v>0.38207999999999998</v>
      </c>
      <c r="L6">
        <v>0.48796</v>
      </c>
      <c r="M6">
        <v>0.48864000000000002</v>
      </c>
      <c r="N6">
        <v>0.50692999999999999</v>
      </c>
      <c r="O6">
        <v>0.49729000000000001</v>
      </c>
      <c r="P6">
        <v>0.47616000000000003</v>
      </c>
      <c r="Q6">
        <v>0.46538000000000002</v>
      </c>
      <c r="R6">
        <v>0.47233999999999998</v>
      </c>
      <c r="S6">
        <v>0.45881</v>
      </c>
    </row>
    <row r="7" spans="1:19" x14ac:dyDescent="0.3">
      <c r="A7" t="s">
        <v>22</v>
      </c>
      <c r="B7" t="s">
        <v>66</v>
      </c>
      <c r="C7" t="s">
        <v>67</v>
      </c>
      <c r="D7">
        <v>1.6702999999999999</v>
      </c>
      <c r="E7">
        <v>1.62269</v>
      </c>
      <c r="F7">
        <v>1.6657</v>
      </c>
      <c r="G7">
        <v>1.70404</v>
      </c>
      <c r="H7">
        <v>1.88131</v>
      </c>
      <c r="I7">
        <v>1.9162699999999999</v>
      </c>
      <c r="J7">
        <v>2.1560600000000001</v>
      </c>
      <c r="K7">
        <v>2.1732999999999998</v>
      </c>
      <c r="L7">
        <v>2.1460599999999999</v>
      </c>
      <c r="M7">
        <v>2.1508099999999999</v>
      </c>
      <c r="N7">
        <v>2.1785700000000001</v>
      </c>
      <c r="O7">
        <v>2.1387999999999998</v>
      </c>
      <c r="P7">
        <v>2.1843499999999998</v>
      </c>
      <c r="Q7">
        <v>2.3218200000000002</v>
      </c>
      <c r="R7">
        <v>2.26877</v>
      </c>
      <c r="S7">
        <v>2.2553299999999998</v>
      </c>
    </row>
    <row r="8" spans="1:19" x14ac:dyDescent="0.3">
      <c r="A8" t="s">
        <v>37</v>
      </c>
      <c r="B8" t="s">
        <v>66</v>
      </c>
      <c r="C8" t="s">
        <v>67</v>
      </c>
      <c r="D8">
        <v>1.1289899999999999</v>
      </c>
      <c r="E8">
        <v>1.1597200000000001</v>
      </c>
      <c r="F8">
        <v>1.21787</v>
      </c>
      <c r="G8">
        <v>1.21797</v>
      </c>
      <c r="H8">
        <v>1.2015499999999999</v>
      </c>
      <c r="I8">
        <v>1.2621899999999999</v>
      </c>
      <c r="J8">
        <v>1.3010699999999999</v>
      </c>
      <c r="K8">
        <v>1.3384</v>
      </c>
      <c r="L8">
        <v>1.3385</v>
      </c>
      <c r="M8">
        <v>1.36642</v>
      </c>
      <c r="N8">
        <v>1.3701300000000001</v>
      </c>
      <c r="O8">
        <v>1.4244300000000001</v>
      </c>
      <c r="P8">
        <v>1.4615899999999999</v>
      </c>
      <c r="Q8">
        <v>1.5065999999999999</v>
      </c>
      <c r="R8">
        <v>1.42658</v>
      </c>
      <c r="S8">
        <v>1.3901399999999999</v>
      </c>
    </row>
    <row r="9" spans="1:19" x14ac:dyDescent="0.3">
      <c r="A9" t="s">
        <v>23</v>
      </c>
      <c r="B9" t="s">
        <v>66</v>
      </c>
      <c r="C9" t="s">
        <v>67</v>
      </c>
      <c r="D9">
        <v>3.33704</v>
      </c>
      <c r="E9">
        <v>3.5369700000000002</v>
      </c>
      <c r="F9">
        <v>3.7340200000000001</v>
      </c>
      <c r="G9">
        <v>3.7053199999999999</v>
      </c>
      <c r="H9">
        <v>3.6180599999999998</v>
      </c>
      <c r="I9">
        <v>3.39832</v>
      </c>
      <c r="J9">
        <v>3.2713700000000001</v>
      </c>
      <c r="K9">
        <v>3.14751</v>
      </c>
      <c r="L9">
        <v>2.8719600000000001</v>
      </c>
      <c r="M9">
        <v>2.7244199999999998</v>
      </c>
      <c r="N9">
        <v>2.7278699999999998</v>
      </c>
      <c r="O9">
        <v>2.7574900000000002</v>
      </c>
      <c r="P9">
        <v>2.7996099999999999</v>
      </c>
      <c r="Q9">
        <v>2.9124300000000001</v>
      </c>
      <c r="R9">
        <v>2.9885000000000002</v>
      </c>
      <c r="S9">
        <v>2.96469</v>
      </c>
    </row>
    <row r="10" spans="1:19" x14ac:dyDescent="0.3">
      <c r="A10" t="s">
        <v>41</v>
      </c>
      <c r="B10" t="s">
        <v>66</v>
      </c>
      <c r="C10" t="s">
        <v>67</v>
      </c>
      <c r="D10">
        <v>2.46048</v>
      </c>
      <c r="E10">
        <v>2.6151300000000002</v>
      </c>
      <c r="F10">
        <v>2.7426599999999999</v>
      </c>
      <c r="G10">
        <v>2.7302399999999998</v>
      </c>
      <c r="H10">
        <v>2.8055500000000002</v>
      </c>
      <c r="I10">
        <v>2.8816600000000001</v>
      </c>
      <c r="J10">
        <v>2.8359899999999998</v>
      </c>
      <c r="K10">
        <v>2.87784</v>
      </c>
      <c r="L10">
        <v>2.9337900000000001</v>
      </c>
      <c r="M10">
        <v>2.9403899999999998</v>
      </c>
      <c r="N10">
        <v>3.0470999999999999</v>
      </c>
      <c r="O10">
        <v>3.1101100000000002</v>
      </c>
      <c r="P10">
        <v>3.1670099999999999</v>
      </c>
      <c r="Q10">
        <v>3.1313599999999999</v>
      </c>
      <c r="R10">
        <v>3.1288200000000002</v>
      </c>
      <c r="S10">
        <v>3.1323599999999998</v>
      </c>
    </row>
    <row r="11" spans="1:19" x14ac:dyDescent="0.3">
      <c r="A11" t="s">
        <v>30</v>
      </c>
      <c r="B11" t="s">
        <v>66</v>
      </c>
      <c r="C11" t="s">
        <v>67</v>
      </c>
      <c r="D11">
        <v>0.40006999999999998</v>
      </c>
      <c r="E11">
        <v>0.38594000000000001</v>
      </c>
      <c r="F11">
        <v>0.44436999999999999</v>
      </c>
      <c r="G11">
        <v>0.44291999999999998</v>
      </c>
      <c r="H11">
        <v>0.45262999999999998</v>
      </c>
      <c r="I11">
        <v>0.43764999999999998</v>
      </c>
      <c r="J11">
        <v>0.48485</v>
      </c>
      <c r="K11">
        <v>0.51205000000000001</v>
      </c>
      <c r="L11">
        <v>0.47528999999999999</v>
      </c>
      <c r="M11">
        <v>0.51970000000000005</v>
      </c>
      <c r="N11">
        <v>0.54259000000000002</v>
      </c>
      <c r="O11">
        <v>0.61404999999999998</v>
      </c>
      <c r="P11">
        <v>0.70945000000000003</v>
      </c>
      <c r="Q11">
        <v>0.83653999999999995</v>
      </c>
      <c r="R11">
        <v>0.80030000000000001</v>
      </c>
      <c r="S11">
        <v>0.74526999999999999</v>
      </c>
    </row>
    <row r="12" spans="1:19" x14ac:dyDescent="0.3">
      <c r="A12" t="s">
        <v>24</v>
      </c>
      <c r="B12" t="s">
        <v>66</v>
      </c>
      <c r="C12" t="s">
        <v>67</v>
      </c>
      <c r="D12">
        <v>1.29572</v>
      </c>
      <c r="E12">
        <v>1.2335799999999999</v>
      </c>
      <c r="F12">
        <v>1.2865599999999999</v>
      </c>
      <c r="G12">
        <v>1.3267</v>
      </c>
      <c r="H12">
        <v>1.54477</v>
      </c>
      <c r="I12">
        <v>1.7696700000000001</v>
      </c>
      <c r="J12">
        <v>1.87924</v>
      </c>
      <c r="K12">
        <v>1.9583299999999999</v>
      </c>
      <c r="L12">
        <v>1.91689</v>
      </c>
      <c r="M12">
        <v>1.6700299999999999</v>
      </c>
      <c r="N12">
        <v>1.7685500000000001</v>
      </c>
      <c r="O12">
        <v>1.89906</v>
      </c>
      <c r="P12">
        <v>1.9273400000000001</v>
      </c>
      <c r="Q12">
        <v>1.9859899999999999</v>
      </c>
      <c r="R12">
        <v>1.9960100000000001</v>
      </c>
      <c r="S12">
        <v>1.9641999999999999</v>
      </c>
    </row>
    <row r="13" spans="1:19" x14ac:dyDescent="0.3">
      <c r="A13" t="s">
        <v>28</v>
      </c>
      <c r="B13" t="s">
        <v>66</v>
      </c>
      <c r="C13" t="s">
        <v>67</v>
      </c>
      <c r="D13">
        <v>0.95445000000000002</v>
      </c>
      <c r="E13">
        <v>0.97757000000000005</v>
      </c>
      <c r="F13">
        <v>1.12802</v>
      </c>
      <c r="G13">
        <v>1.1286499999999999</v>
      </c>
      <c r="H13">
        <v>1.1792499999999999</v>
      </c>
      <c r="I13">
        <v>1.25423</v>
      </c>
      <c r="J13">
        <v>1.3841000000000001</v>
      </c>
      <c r="K13">
        <v>1.3446</v>
      </c>
      <c r="L13">
        <v>1.3395900000000001</v>
      </c>
      <c r="M13">
        <v>1.17987</v>
      </c>
      <c r="N13">
        <v>1.3170200000000001</v>
      </c>
      <c r="O13">
        <v>1.5077499999999999</v>
      </c>
      <c r="P13">
        <v>1.4729099999999999</v>
      </c>
      <c r="Q13">
        <v>1.5925199999999999</v>
      </c>
      <c r="R13">
        <v>1.6437900000000001</v>
      </c>
      <c r="S13">
        <v>1.39473</v>
      </c>
    </row>
    <row r="14" spans="1:19" x14ac:dyDescent="0.3">
      <c r="A14" t="s">
        <v>18</v>
      </c>
      <c r="B14" t="s">
        <v>66</v>
      </c>
      <c r="C14" t="s">
        <v>67</v>
      </c>
      <c r="D14">
        <v>1.2340800000000001</v>
      </c>
      <c r="E14">
        <v>1.3912599999999999</v>
      </c>
      <c r="F14">
        <v>1.61371</v>
      </c>
      <c r="G14">
        <v>1.59477</v>
      </c>
      <c r="H14">
        <v>1.5515300000000001</v>
      </c>
      <c r="I14">
        <v>1.5602799999999999</v>
      </c>
      <c r="J14">
        <v>1.56908</v>
      </c>
      <c r="K14">
        <v>1.5179800000000001</v>
      </c>
      <c r="L14">
        <v>1.17974</v>
      </c>
      <c r="M14">
        <v>1.17716</v>
      </c>
      <c r="N14">
        <v>1.2486600000000001</v>
      </c>
      <c r="O14">
        <v>1.1069800000000001</v>
      </c>
      <c r="P14">
        <v>1.1606799999999999</v>
      </c>
      <c r="Q14">
        <v>1.14551</v>
      </c>
      <c r="R14">
        <v>1.1106499999999999</v>
      </c>
      <c r="S14">
        <v>0.96264000000000005</v>
      </c>
    </row>
    <row r="15" spans="1:19" x14ac:dyDescent="0.3">
      <c r="A15" t="s">
        <v>21</v>
      </c>
      <c r="B15" t="s">
        <v>66</v>
      </c>
      <c r="C15" t="s">
        <v>67</v>
      </c>
      <c r="D15">
        <v>0.80174000000000001</v>
      </c>
      <c r="E15">
        <v>0.78932000000000002</v>
      </c>
      <c r="F15">
        <v>0.83084000000000002</v>
      </c>
      <c r="G15">
        <v>0.7833</v>
      </c>
      <c r="H15">
        <v>0.90268999999999999</v>
      </c>
      <c r="I15">
        <v>0.89303999999999994</v>
      </c>
      <c r="J15">
        <v>0.94872000000000001</v>
      </c>
      <c r="K15">
        <v>1.0301100000000001</v>
      </c>
      <c r="L15">
        <v>1.0434099999999999</v>
      </c>
      <c r="M15">
        <v>0.84240999999999999</v>
      </c>
      <c r="N15">
        <v>0.89625999999999995</v>
      </c>
      <c r="O15">
        <v>0.93662000000000001</v>
      </c>
      <c r="P15">
        <v>0.99265999999999999</v>
      </c>
      <c r="Q15">
        <v>1.1326099999999999</v>
      </c>
      <c r="R15">
        <v>1.10436</v>
      </c>
      <c r="S15">
        <v>1.0531900000000001</v>
      </c>
    </row>
    <row r="16" spans="1:19" x14ac:dyDescent="0.3">
      <c r="A16" t="s">
        <v>19</v>
      </c>
      <c r="B16" t="s">
        <v>66</v>
      </c>
      <c r="C16" t="s">
        <v>67</v>
      </c>
      <c r="D16">
        <v>0.78298999999999996</v>
      </c>
      <c r="E16">
        <v>0.87568000000000001</v>
      </c>
      <c r="F16">
        <v>0.83304</v>
      </c>
      <c r="G16">
        <v>0.73055000000000003</v>
      </c>
      <c r="H16">
        <v>0.73646</v>
      </c>
      <c r="I16">
        <v>0.73724999999999996</v>
      </c>
      <c r="J16">
        <v>0.79513</v>
      </c>
      <c r="K16">
        <v>0.76902000000000004</v>
      </c>
      <c r="L16">
        <v>0.82377999999999996</v>
      </c>
      <c r="M16">
        <v>0.84433000000000002</v>
      </c>
      <c r="N16">
        <v>0.84150000000000003</v>
      </c>
      <c r="O16">
        <v>0.94311999999999996</v>
      </c>
      <c r="P16">
        <v>1.0702700000000001</v>
      </c>
      <c r="Q16">
        <v>1.2298899999999999</v>
      </c>
      <c r="R16">
        <v>1.2312399999999999</v>
      </c>
      <c r="S16">
        <v>1.40323</v>
      </c>
    </row>
    <row r="17" spans="1:19" x14ac:dyDescent="0.3">
      <c r="A17" t="s">
        <v>17</v>
      </c>
      <c r="B17" t="s">
        <v>66</v>
      </c>
      <c r="C17" t="s">
        <v>67</v>
      </c>
      <c r="D17">
        <v>1.42703</v>
      </c>
      <c r="E17">
        <v>1.62673</v>
      </c>
      <c r="F17">
        <v>1.8118399999999999</v>
      </c>
      <c r="G17">
        <v>2.0513300000000001</v>
      </c>
      <c r="H17">
        <v>2.4129700000000001</v>
      </c>
      <c r="I17">
        <v>2.5606100000000001</v>
      </c>
      <c r="J17">
        <v>2.56487</v>
      </c>
      <c r="K17">
        <v>2.3654799999999998</v>
      </c>
      <c r="L17">
        <v>2.1956500000000001</v>
      </c>
      <c r="M17">
        <v>2.0076399999999999</v>
      </c>
      <c r="N17">
        <v>1.8653</v>
      </c>
      <c r="O17">
        <v>1.9459299999999999</v>
      </c>
      <c r="P17">
        <v>2.0392199999999998</v>
      </c>
      <c r="Q17">
        <v>2.1415600000000001</v>
      </c>
      <c r="R17">
        <v>2.1280000000000001</v>
      </c>
      <c r="S17">
        <v>2.0952500000000001</v>
      </c>
    </row>
    <row r="18" spans="1:19" x14ac:dyDescent="0.3">
      <c r="A18" t="s">
        <v>14</v>
      </c>
      <c r="B18" t="s">
        <v>66</v>
      </c>
      <c r="C18" t="s">
        <v>67</v>
      </c>
      <c r="D18">
        <v>2.0245099999999998</v>
      </c>
      <c r="E18">
        <v>2.0611700000000002</v>
      </c>
      <c r="F18">
        <v>2.2120700000000002</v>
      </c>
      <c r="G18">
        <v>2.1785700000000001</v>
      </c>
      <c r="H18">
        <v>2.1916099999999998</v>
      </c>
      <c r="I18">
        <v>2.2270699999999999</v>
      </c>
      <c r="J18">
        <v>2.2370299999999999</v>
      </c>
      <c r="K18">
        <v>2.2759200000000002</v>
      </c>
      <c r="L18">
        <v>2.22702</v>
      </c>
      <c r="M18">
        <v>2.2223799999999998</v>
      </c>
      <c r="N18">
        <v>2.1988799999999999</v>
      </c>
      <c r="O18">
        <v>2.1966600000000001</v>
      </c>
      <c r="P18">
        <v>2.1917900000000001</v>
      </c>
      <c r="Q18">
        <v>2.2746400000000002</v>
      </c>
      <c r="R18">
        <v>2.2180800000000001</v>
      </c>
      <c r="S18">
        <v>2.23312</v>
      </c>
    </row>
    <row r="19" spans="1:19" x14ac:dyDescent="0.3">
      <c r="A19" t="s">
        <v>27</v>
      </c>
      <c r="B19" t="s">
        <v>66</v>
      </c>
      <c r="C19" t="s">
        <v>67</v>
      </c>
      <c r="D19">
        <v>2.4184299999999999</v>
      </c>
      <c r="E19">
        <v>2.5694499999999998</v>
      </c>
      <c r="F19">
        <v>2.59674</v>
      </c>
      <c r="G19">
        <v>2.7261000000000002</v>
      </c>
      <c r="H19">
        <v>2.6686800000000002</v>
      </c>
      <c r="I19">
        <v>2.91472</v>
      </c>
      <c r="J19">
        <v>2.95492</v>
      </c>
      <c r="K19">
        <v>3.0842900000000002</v>
      </c>
      <c r="L19">
        <v>3.04969</v>
      </c>
      <c r="M19">
        <v>3.1165500000000002</v>
      </c>
      <c r="N19">
        <v>3.0565600000000002</v>
      </c>
      <c r="O19">
        <v>3.0918199999999998</v>
      </c>
      <c r="P19">
        <v>3.1326499999999999</v>
      </c>
      <c r="Q19">
        <v>3.2027800000000002</v>
      </c>
      <c r="R19">
        <v>3.2636099999999999</v>
      </c>
      <c r="S19">
        <v>3.2004800000000002</v>
      </c>
    </row>
    <row r="20" spans="1:19" x14ac:dyDescent="0.3">
      <c r="A20" t="s">
        <v>31</v>
      </c>
      <c r="B20" t="s">
        <v>66</v>
      </c>
      <c r="C20" t="s">
        <v>67</v>
      </c>
      <c r="D20">
        <v>2.5154100000000001</v>
      </c>
      <c r="E20">
        <v>2.77346</v>
      </c>
      <c r="F20">
        <v>3.0551400000000002</v>
      </c>
      <c r="G20">
        <v>2.9170699999999998</v>
      </c>
      <c r="H20">
        <v>2.9446500000000002</v>
      </c>
      <c r="I20">
        <v>2.9812500000000002</v>
      </c>
      <c r="J20">
        <v>2.9704799999999998</v>
      </c>
      <c r="K20">
        <v>2.9140899999999998</v>
      </c>
      <c r="L20">
        <v>3.05497</v>
      </c>
      <c r="M20">
        <v>3.0928300000000002</v>
      </c>
      <c r="N20">
        <v>2.9312399999999998</v>
      </c>
      <c r="O20">
        <v>2.9660299999999999</v>
      </c>
      <c r="P20">
        <v>2.8968500000000001</v>
      </c>
      <c r="Q20">
        <v>2.9725799999999998</v>
      </c>
      <c r="R20">
        <v>2.7614200000000002</v>
      </c>
      <c r="S20">
        <v>2.8905099999999999</v>
      </c>
    </row>
    <row r="21" spans="1:19" x14ac:dyDescent="0.3">
      <c r="A21" t="s">
        <v>35</v>
      </c>
      <c r="B21" t="s">
        <v>66</v>
      </c>
      <c r="C21" t="s">
        <v>67</v>
      </c>
      <c r="D21">
        <v>1.84999</v>
      </c>
      <c r="E21">
        <v>1.9368399999999999</v>
      </c>
      <c r="F21">
        <v>1.9985999999999999</v>
      </c>
      <c r="G21">
        <v>2.0618799999999999</v>
      </c>
      <c r="H21">
        <v>2.1733199999999999</v>
      </c>
      <c r="I21">
        <v>2.2811400000000002</v>
      </c>
      <c r="J21">
        <v>2.33073</v>
      </c>
      <c r="K21">
        <v>2.3700199999999998</v>
      </c>
      <c r="L21">
        <v>2.4281700000000002</v>
      </c>
      <c r="M21">
        <v>2.52338</v>
      </c>
      <c r="N21">
        <v>2.6666599999999998</v>
      </c>
      <c r="O21">
        <v>2.8601800000000002</v>
      </c>
      <c r="P21">
        <v>3.1566000000000001</v>
      </c>
      <c r="Q21">
        <v>3.39175</v>
      </c>
      <c r="R21">
        <v>3.3923899999999998</v>
      </c>
      <c r="S21">
        <v>3.40544</v>
      </c>
    </row>
    <row r="22" spans="1:19" x14ac:dyDescent="0.3">
      <c r="A22" t="s">
        <v>32</v>
      </c>
      <c r="B22" t="s">
        <v>66</v>
      </c>
      <c r="C22" t="s">
        <v>67</v>
      </c>
      <c r="D22">
        <v>0.57655000000000001</v>
      </c>
      <c r="E22">
        <v>0.66183000000000003</v>
      </c>
      <c r="F22">
        <v>0.62556999999999996</v>
      </c>
      <c r="G22">
        <v>0.60346999999999995</v>
      </c>
      <c r="H22">
        <v>0.68425999999999998</v>
      </c>
      <c r="I22">
        <v>0.71004999999999996</v>
      </c>
      <c r="J22">
        <v>0.81477999999999995</v>
      </c>
      <c r="K22">
        <v>0.83997999999999995</v>
      </c>
      <c r="L22">
        <v>0.96604999999999996</v>
      </c>
      <c r="M22">
        <v>1.00529</v>
      </c>
      <c r="N22">
        <v>1.15228</v>
      </c>
      <c r="O22">
        <v>1.2137100000000001</v>
      </c>
      <c r="P22">
        <v>1.2749900000000001</v>
      </c>
      <c r="Q22">
        <v>1.51149</v>
      </c>
      <c r="R22">
        <v>1.4578199999999999</v>
      </c>
      <c r="S22">
        <v>1.4859599999999999</v>
      </c>
    </row>
    <row r="23" spans="1:19" x14ac:dyDescent="0.3">
      <c r="A23" t="s">
        <v>29</v>
      </c>
      <c r="B23" t="s">
        <v>66</v>
      </c>
      <c r="C23" t="s">
        <v>67</v>
      </c>
      <c r="D23">
        <v>0.56193000000000004</v>
      </c>
      <c r="E23">
        <v>0.59943999999999997</v>
      </c>
      <c r="F23">
        <v>0.66105999999999998</v>
      </c>
      <c r="G23">
        <v>0.72619</v>
      </c>
      <c r="H23">
        <v>0.75221000000000005</v>
      </c>
      <c r="I23">
        <v>0.88997000000000004</v>
      </c>
      <c r="J23">
        <v>0.88483000000000001</v>
      </c>
      <c r="K23">
        <v>0.95076000000000005</v>
      </c>
      <c r="L23">
        <v>1.00423</v>
      </c>
      <c r="M23">
        <v>0.96821000000000002</v>
      </c>
      <c r="N23">
        <v>1.0378499999999999</v>
      </c>
      <c r="O23">
        <v>1.2060999999999999</v>
      </c>
      <c r="P23">
        <v>1.32335</v>
      </c>
      <c r="Q23">
        <v>1.38608</v>
      </c>
      <c r="R23">
        <v>1.4318299999999999</v>
      </c>
      <c r="S23">
        <v>1.45383</v>
      </c>
    </row>
    <row r="24" spans="1:19" x14ac:dyDescent="0.3">
      <c r="A24" t="s">
        <v>34</v>
      </c>
      <c r="B24" t="s">
        <v>66</v>
      </c>
      <c r="C24" t="s">
        <v>67</v>
      </c>
      <c r="D24">
        <v>1.2405299999999999</v>
      </c>
      <c r="E24">
        <v>1.325</v>
      </c>
      <c r="F24">
        <v>1.36364</v>
      </c>
      <c r="G24">
        <v>1.3599600000000001</v>
      </c>
      <c r="H24">
        <v>1.33341</v>
      </c>
      <c r="I24">
        <v>1.2987599999999999</v>
      </c>
      <c r="J24">
        <v>1.2748200000000001</v>
      </c>
      <c r="K24">
        <v>1.24159</v>
      </c>
      <c r="L24">
        <v>1.2217899999999999</v>
      </c>
      <c r="M24">
        <v>1.1898599999999999</v>
      </c>
      <c r="N24">
        <v>1.20977</v>
      </c>
      <c r="O24">
        <v>1.2415099999999999</v>
      </c>
      <c r="P24">
        <v>1.2502500000000001</v>
      </c>
      <c r="Q24">
        <v>1.4091</v>
      </c>
      <c r="R24">
        <v>1.4112199999999999</v>
      </c>
      <c r="S24">
        <v>1.4353199999999999</v>
      </c>
    </row>
    <row r="25" spans="1:19" x14ac:dyDescent="0.3">
      <c r="A25" t="s">
        <v>36</v>
      </c>
      <c r="B25" t="s">
        <v>66</v>
      </c>
      <c r="C25" t="s">
        <v>67</v>
      </c>
      <c r="D25">
        <v>1.05874</v>
      </c>
      <c r="E25">
        <v>1.2518800000000001</v>
      </c>
      <c r="F25">
        <v>1.39679</v>
      </c>
      <c r="G25">
        <v>1.5789899999999999</v>
      </c>
      <c r="H25">
        <v>2.3052199999999998</v>
      </c>
      <c r="I25">
        <v>2.1248100000000001</v>
      </c>
      <c r="J25">
        <v>1.7241200000000001</v>
      </c>
      <c r="K25">
        <v>1.4302299999999999</v>
      </c>
      <c r="L25">
        <v>1.46777</v>
      </c>
      <c r="M25">
        <v>1.2430600000000001</v>
      </c>
      <c r="N25">
        <v>1.27685</v>
      </c>
      <c r="O25">
        <v>1.4099900000000001</v>
      </c>
      <c r="P25">
        <v>1.6205799999999999</v>
      </c>
      <c r="Q25">
        <v>1.75315</v>
      </c>
      <c r="R25">
        <v>1.76766</v>
      </c>
      <c r="S25">
        <v>1.7820499999999999</v>
      </c>
    </row>
    <row r="26" spans="1:19" x14ac:dyDescent="0.3">
      <c r="A26" t="s">
        <v>38</v>
      </c>
      <c r="B26" t="s">
        <v>66</v>
      </c>
      <c r="C26" t="s">
        <v>67</v>
      </c>
      <c r="D26">
        <v>0.55106999999999995</v>
      </c>
      <c r="E26">
        <v>0.57720000000000005</v>
      </c>
      <c r="F26">
        <v>0.44857999999999998</v>
      </c>
      <c r="G26">
        <v>0.60570999999999997</v>
      </c>
      <c r="H26">
        <v>0.71562000000000003</v>
      </c>
      <c r="I26">
        <v>0.66307000000000005</v>
      </c>
      <c r="J26">
        <v>0.61321000000000003</v>
      </c>
      <c r="K26">
        <v>0.68908000000000003</v>
      </c>
      <c r="L26">
        <v>0.61939999999999995</v>
      </c>
      <c r="M26">
        <v>0.43514000000000003</v>
      </c>
      <c r="N26">
        <v>0.51104000000000005</v>
      </c>
      <c r="O26">
        <v>0.63868999999999998</v>
      </c>
      <c r="P26">
        <v>0.63846999999999998</v>
      </c>
      <c r="Q26">
        <v>0.73438999999999999</v>
      </c>
      <c r="R26">
        <v>0.74621999999999999</v>
      </c>
      <c r="S26">
        <v>0.76382000000000005</v>
      </c>
    </row>
    <row r="27" spans="1:19" x14ac:dyDescent="0.3">
      <c r="A27" t="s">
        <v>39</v>
      </c>
      <c r="B27" t="s">
        <v>66</v>
      </c>
      <c r="C27" t="s">
        <v>67</v>
      </c>
      <c r="D27">
        <v>0.5454</v>
      </c>
      <c r="E27">
        <v>0.52666999999999997</v>
      </c>
      <c r="F27">
        <v>0.50739000000000001</v>
      </c>
      <c r="G27">
        <v>0.58740999999999999</v>
      </c>
      <c r="H27">
        <v>0.66505999999999998</v>
      </c>
      <c r="I27">
        <v>0.80432000000000003</v>
      </c>
      <c r="J27">
        <v>0.74336000000000002</v>
      </c>
      <c r="K27">
        <v>0.69179000000000002</v>
      </c>
      <c r="L27">
        <v>0.71514999999999995</v>
      </c>
      <c r="M27">
        <v>0.55689</v>
      </c>
      <c r="N27">
        <v>0.55232000000000003</v>
      </c>
      <c r="O27">
        <v>0.57211000000000001</v>
      </c>
      <c r="P27">
        <v>0.55993000000000004</v>
      </c>
      <c r="Q27">
        <v>0.64566000000000001</v>
      </c>
      <c r="R27">
        <v>0.65205000000000002</v>
      </c>
      <c r="S27">
        <v>0.60433000000000003</v>
      </c>
    </row>
    <row r="28" spans="1:19" x14ac:dyDescent="0.3">
      <c r="A28" t="s">
        <v>26</v>
      </c>
      <c r="B28" t="s">
        <v>66</v>
      </c>
      <c r="C28" t="s">
        <v>67</v>
      </c>
      <c r="D28">
        <v>1.57165</v>
      </c>
      <c r="E28">
        <v>1.5466299999999999</v>
      </c>
      <c r="F28">
        <v>1.58839</v>
      </c>
      <c r="G28">
        <v>1.4237299999999999</v>
      </c>
      <c r="H28">
        <v>1.4245300000000001</v>
      </c>
      <c r="I28">
        <v>1.2066399999999999</v>
      </c>
      <c r="J28">
        <v>1.2338100000000001</v>
      </c>
      <c r="K28">
        <v>1.2170000000000001</v>
      </c>
      <c r="L28">
        <v>1.2522599999999999</v>
      </c>
      <c r="M28">
        <v>1.2668999999999999</v>
      </c>
      <c r="N28">
        <v>1.23898</v>
      </c>
      <c r="O28">
        <v>1.1718</v>
      </c>
      <c r="P28">
        <v>1.18177</v>
      </c>
      <c r="Q28">
        <v>1.0958399999999999</v>
      </c>
      <c r="R28">
        <v>1.0411999999999999</v>
      </c>
      <c r="S28">
        <v>0.97653000000000001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84BD-0D8A-4F8D-B336-C25FB3E352C2}">
  <dimension ref="A1:S28"/>
  <sheetViews>
    <sheetView workbookViewId="0">
      <selection activeCell="U19" sqref="U19"/>
    </sheetView>
  </sheetViews>
  <sheetFormatPr defaultRowHeight="14.4" x14ac:dyDescent="0.3"/>
  <sheetData>
    <row r="1" spans="1:19" x14ac:dyDescent="0.3">
      <c r="A1" t="s">
        <v>65</v>
      </c>
      <c r="B1" t="s">
        <v>43</v>
      </c>
      <c r="C1" t="s">
        <v>71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27</v>
      </c>
      <c r="B2" t="s">
        <v>72</v>
      </c>
      <c r="C2" t="s">
        <v>73</v>
      </c>
      <c r="D2">
        <v>9.5960000000000001</v>
      </c>
      <c r="E2">
        <v>8.7200000000000006</v>
      </c>
      <c r="F2">
        <v>10.896000000000001</v>
      </c>
      <c r="G2">
        <v>9.673</v>
      </c>
      <c r="H2">
        <v>9.173</v>
      </c>
      <c r="I2">
        <v>9.5609999999999999</v>
      </c>
      <c r="J2">
        <v>9.7669999999999995</v>
      </c>
      <c r="K2">
        <v>10.507999999999999</v>
      </c>
      <c r="L2">
        <v>10.91</v>
      </c>
      <c r="M2">
        <v>11.423999999999999</v>
      </c>
      <c r="N2">
        <v>9.9710000000000001</v>
      </c>
      <c r="O2">
        <v>9.5719999999999992</v>
      </c>
      <c r="P2">
        <v>8.7669999999999995</v>
      </c>
      <c r="Q2">
        <v>10.324999999999999</v>
      </c>
      <c r="R2">
        <v>12.023</v>
      </c>
      <c r="S2">
        <v>10.327</v>
      </c>
    </row>
    <row r="3" spans="1:19" x14ac:dyDescent="0.3">
      <c r="A3" t="s">
        <v>35</v>
      </c>
      <c r="B3" t="s">
        <v>72</v>
      </c>
      <c r="C3" t="s">
        <v>73</v>
      </c>
      <c r="D3">
        <v>18.841000000000001</v>
      </c>
      <c r="E3">
        <v>17.97</v>
      </c>
      <c r="F3">
        <v>21.94</v>
      </c>
      <c r="G3">
        <v>22.390999999999998</v>
      </c>
      <c r="H3">
        <v>18.724</v>
      </c>
      <c r="I3">
        <v>19.738</v>
      </c>
      <c r="J3">
        <v>23.689</v>
      </c>
      <c r="K3">
        <v>23.225000000000001</v>
      </c>
      <c r="L3">
        <v>22.125</v>
      </c>
      <c r="M3">
        <v>20.108000000000001</v>
      </c>
      <c r="N3">
        <v>19.236000000000001</v>
      </c>
      <c r="O3">
        <v>15.747999999999999</v>
      </c>
      <c r="P3">
        <v>14.236000000000001</v>
      </c>
      <c r="Q3">
        <v>15.326000000000001</v>
      </c>
      <c r="R3">
        <v>18.206</v>
      </c>
      <c r="S3">
        <v>16.41</v>
      </c>
    </row>
    <row r="4" spans="1:19" x14ac:dyDescent="0.3">
      <c r="A4" t="s">
        <v>40</v>
      </c>
      <c r="B4" t="s">
        <v>72</v>
      </c>
      <c r="C4" t="s">
        <v>73</v>
      </c>
      <c r="D4">
        <v>15.183</v>
      </c>
      <c r="E4">
        <v>12.804</v>
      </c>
      <c r="F4">
        <v>16.263000000000002</v>
      </c>
      <c r="G4">
        <v>21.95</v>
      </c>
      <c r="H4">
        <v>25.056000000000001</v>
      </c>
      <c r="I4">
        <v>28.11</v>
      </c>
      <c r="J4">
        <v>28.373999999999999</v>
      </c>
      <c r="K4">
        <v>23.774000000000001</v>
      </c>
      <c r="L4">
        <v>21.652999999999999</v>
      </c>
      <c r="M4">
        <v>17.224</v>
      </c>
      <c r="N4">
        <v>12.927</v>
      </c>
      <c r="O4">
        <v>12.676</v>
      </c>
      <c r="P4">
        <v>8.8979999999999997</v>
      </c>
      <c r="Q4">
        <v>14.214</v>
      </c>
      <c r="R4">
        <v>15.823</v>
      </c>
      <c r="S4">
        <v>10.742000000000001</v>
      </c>
    </row>
    <row r="5" spans="1:19" x14ac:dyDescent="0.3">
      <c r="A5" t="s">
        <v>30</v>
      </c>
      <c r="B5" t="s">
        <v>72</v>
      </c>
      <c r="C5" t="s">
        <v>73</v>
      </c>
      <c r="D5">
        <v>9.4860000000000007</v>
      </c>
      <c r="E5">
        <v>8.532</v>
      </c>
      <c r="F5">
        <v>13.276</v>
      </c>
      <c r="G5">
        <v>15.852</v>
      </c>
      <c r="H5">
        <v>21.155999999999999</v>
      </c>
      <c r="I5">
        <v>27.244</v>
      </c>
      <c r="J5">
        <v>38.082999999999998</v>
      </c>
      <c r="K5">
        <v>35.515999999999998</v>
      </c>
      <c r="L5">
        <v>32.539000000000001</v>
      </c>
      <c r="M5">
        <v>28.902000000000001</v>
      </c>
      <c r="N5">
        <v>25.013000000000002</v>
      </c>
      <c r="O5">
        <v>20.654</v>
      </c>
      <c r="P5">
        <v>16.856000000000002</v>
      </c>
      <c r="Q5">
        <v>18.491</v>
      </c>
      <c r="R5">
        <v>17.172999999999998</v>
      </c>
      <c r="S5">
        <v>18.707000000000001</v>
      </c>
    </row>
    <row r="6" spans="1:19" x14ac:dyDescent="0.3">
      <c r="A6" t="s">
        <v>24</v>
      </c>
      <c r="B6" t="s">
        <v>72</v>
      </c>
      <c r="C6" t="s">
        <v>73</v>
      </c>
      <c r="D6">
        <v>10.734</v>
      </c>
      <c r="E6">
        <v>9.8740000000000006</v>
      </c>
      <c r="F6">
        <v>16.655999999999999</v>
      </c>
      <c r="G6">
        <v>18.356000000000002</v>
      </c>
      <c r="H6">
        <v>18.077000000000002</v>
      </c>
      <c r="I6">
        <v>19.507999999999999</v>
      </c>
      <c r="J6">
        <v>18.957999999999998</v>
      </c>
      <c r="K6">
        <v>15.840999999999999</v>
      </c>
      <c r="L6">
        <v>12.582000000000001</v>
      </c>
      <c r="M6">
        <v>10.488</v>
      </c>
      <c r="N6">
        <v>7.9359999999999999</v>
      </c>
      <c r="O6">
        <v>6.7140000000000004</v>
      </c>
      <c r="P6">
        <v>5.6150000000000002</v>
      </c>
      <c r="Q6">
        <v>7.9359999999999999</v>
      </c>
      <c r="R6">
        <v>8.1340000000000003</v>
      </c>
      <c r="S6">
        <v>6.72</v>
      </c>
    </row>
    <row r="7" spans="1:19" x14ac:dyDescent="0.3">
      <c r="A7" t="s">
        <v>41</v>
      </c>
      <c r="B7" t="s">
        <v>72</v>
      </c>
      <c r="C7" t="s">
        <v>73</v>
      </c>
      <c r="D7">
        <v>11.824</v>
      </c>
      <c r="E7">
        <v>10.929</v>
      </c>
      <c r="F7">
        <v>11.308999999999999</v>
      </c>
      <c r="G7">
        <v>10.416</v>
      </c>
      <c r="H7">
        <v>8.9269999999999996</v>
      </c>
      <c r="I7">
        <v>8.1189999999999998</v>
      </c>
      <c r="J7">
        <v>7.8250000000000002</v>
      </c>
      <c r="K7">
        <v>7.6120000000000001</v>
      </c>
      <c r="L7">
        <v>7.3280000000000003</v>
      </c>
      <c r="M7">
        <v>7.0789999999999997</v>
      </c>
      <c r="N7">
        <v>6.77</v>
      </c>
      <c r="O7">
        <v>6.22</v>
      </c>
      <c r="P7">
        <v>5.859</v>
      </c>
      <c r="Q7">
        <v>7.8620000000000001</v>
      </c>
      <c r="R7">
        <v>6.665</v>
      </c>
      <c r="S7">
        <v>6.04</v>
      </c>
    </row>
    <row r="8" spans="1:19" x14ac:dyDescent="0.3">
      <c r="A8" t="s">
        <v>31</v>
      </c>
      <c r="B8" t="s">
        <v>72</v>
      </c>
      <c r="C8" t="s">
        <v>73</v>
      </c>
      <c r="D8">
        <v>7.4950000000000001</v>
      </c>
      <c r="E8">
        <v>9.4710000000000001</v>
      </c>
      <c r="F8">
        <v>13.441000000000001</v>
      </c>
      <c r="G8">
        <v>15.554</v>
      </c>
      <c r="H8">
        <v>16.306000000000001</v>
      </c>
      <c r="I8">
        <v>15.775</v>
      </c>
      <c r="J8">
        <v>14.773999999999999</v>
      </c>
      <c r="K8">
        <v>14.196</v>
      </c>
      <c r="L8">
        <v>12.151999999999999</v>
      </c>
      <c r="M8">
        <v>12.147</v>
      </c>
      <c r="N8">
        <v>12.384</v>
      </c>
      <c r="O8">
        <v>10.52</v>
      </c>
      <c r="P8">
        <v>10.041</v>
      </c>
      <c r="Q8">
        <v>11.587999999999999</v>
      </c>
      <c r="R8">
        <v>10.808</v>
      </c>
      <c r="S8">
        <v>10.532999999999999</v>
      </c>
    </row>
    <row r="9" spans="1:19" x14ac:dyDescent="0.3">
      <c r="A9" t="s">
        <v>34</v>
      </c>
      <c r="B9" t="s">
        <v>72</v>
      </c>
      <c r="C9" t="s">
        <v>73</v>
      </c>
      <c r="D9">
        <v>18.087</v>
      </c>
      <c r="E9">
        <v>24.443000000000001</v>
      </c>
      <c r="F9">
        <v>37.71</v>
      </c>
      <c r="G9">
        <v>41.453000000000003</v>
      </c>
      <c r="H9">
        <v>46.158000000000001</v>
      </c>
      <c r="I9">
        <v>52.829000000000001</v>
      </c>
      <c r="J9">
        <v>55.444000000000003</v>
      </c>
      <c r="K9">
        <v>53.168999999999997</v>
      </c>
      <c r="L9">
        <v>48.353000000000002</v>
      </c>
      <c r="M9">
        <v>44.445</v>
      </c>
      <c r="N9">
        <v>38.594000000000001</v>
      </c>
      <c r="O9">
        <v>34.362000000000002</v>
      </c>
      <c r="P9">
        <v>32.555</v>
      </c>
      <c r="Q9">
        <v>38.311999999999998</v>
      </c>
      <c r="R9">
        <v>34.844000000000001</v>
      </c>
      <c r="S9">
        <v>29.852</v>
      </c>
    </row>
    <row r="10" spans="1:19" x14ac:dyDescent="0.3">
      <c r="A10" t="s">
        <v>36</v>
      </c>
      <c r="B10" t="s">
        <v>72</v>
      </c>
      <c r="C10" t="s">
        <v>73</v>
      </c>
      <c r="D10">
        <v>10.097</v>
      </c>
      <c r="E10">
        <v>12.032</v>
      </c>
      <c r="F10">
        <v>27.41</v>
      </c>
      <c r="G10">
        <v>32.938000000000002</v>
      </c>
      <c r="H10">
        <v>22.385999999999999</v>
      </c>
      <c r="I10">
        <v>20.861999999999998</v>
      </c>
      <c r="J10">
        <v>18.704000000000001</v>
      </c>
      <c r="K10">
        <v>14.975</v>
      </c>
      <c r="L10">
        <v>14.342000000000001</v>
      </c>
      <c r="M10">
        <v>14.125</v>
      </c>
      <c r="N10">
        <v>12.175000000000001</v>
      </c>
      <c r="O10">
        <v>12.076000000000001</v>
      </c>
      <c r="P10">
        <v>11.622999999999999</v>
      </c>
      <c r="Q10">
        <v>18.417000000000002</v>
      </c>
      <c r="R10">
        <v>16.622</v>
      </c>
      <c r="S10">
        <v>18.391999999999999</v>
      </c>
    </row>
    <row r="11" spans="1:19" x14ac:dyDescent="0.3">
      <c r="A11" t="s">
        <v>23</v>
      </c>
      <c r="B11" t="s">
        <v>72</v>
      </c>
      <c r="C11" t="s">
        <v>73</v>
      </c>
      <c r="D11">
        <v>16.425999999999998</v>
      </c>
      <c r="E11">
        <v>16.337</v>
      </c>
      <c r="F11">
        <v>21.376000000000001</v>
      </c>
      <c r="G11">
        <v>21.288</v>
      </c>
      <c r="H11">
        <v>19.934000000000001</v>
      </c>
      <c r="I11">
        <v>18.867999999999999</v>
      </c>
      <c r="J11">
        <v>19.817</v>
      </c>
      <c r="K11">
        <v>20.454000000000001</v>
      </c>
      <c r="L11">
        <v>22.303999999999998</v>
      </c>
      <c r="M11">
        <v>20.056999999999999</v>
      </c>
      <c r="N11">
        <v>20.041</v>
      </c>
      <c r="O11">
        <v>16.957999999999998</v>
      </c>
      <c r="P11">
        <v>17.128</v>
      </c>
      <c r="Q11">
        <v>21.193000000000001</v>
      </c>
      <c r="R11">
        <v>17.058</v>
      </c>
      <c r="S11">
        <v>14.138</v>
      </c>
    </row>
    <row r="12" spans="1:19" x14ac:dyDescent="0.3">
      <c r="A12" t="s">
        <v>14</v>
      </c>
      <c r="B12" t="s">
        <v>72</v>
      </c>
      <c r="C12" t="s">
        <v>73</v>
      </c>
      <c r="D12">
        <v>19.643999999999998</v>
      </c>
      <c r="E12">
        <v>19.213999999999999</v>
      </c>
      <c r="F12">
        <v>24.006</v>
      </c>
      <c r="G12">
        <v>23.591999999999999</v>
      </c>
      <c r="H12">
        <v>23.018000000000001</v>
      </c>
      <c r="I12">
        <v>24.949000000000002</v>
      </c>
      <c r="J12">
        <v>24.363</v>
      </c>
      <c r="K12">
        <v>24.827999999999999</v>
      </c>
      <c r="L12">
        <v>25.262</v>
      </c>
      <c r="M12">
        <v>24.937999999999999</v>
      </c>
      <c r="N12">
        <v>22.571999999999999</v>
      </c>
      <c r="O12">
        <v>20.952999999999999</v>
      </c>
      <c r="P12">
        <v>19.928999999999998</v>
      </c>
      <c r="Q12">
        <v>20.398</v>
      </c>
      <c r="R12">
        <v>19.283000000000001</v>
      </c>
      <c r="S12">
        <v>17.850999999999999</v>
      </c>
    </row>
    <row r="13" spans="1:19" x14ac:dyDescent="0.3">
      <c r="A13" t="s">
        <v>32</v>
      </c>
      <c r="B13" t="s">
        <v>72</v>
      </c>
      <c r="C13" t="s">
        <v>73</v>
      </c>
      <c r="D13">
        <v>22.731000000000002</v>
      </c>
      <c r="E13">
        <v>21.61</v>
      </c>
      <c r="F13">
        <v>25.469000000000001</v>
      </c>
      <c r="G13">
        <v>33.005000000000003</v>
      </c>
      <c r="H13">
        <v>44.951000000000001</v>
      </c>
      <c r="I13">
        <v>55.655999999999999</v>
      </c>
      <c r="J13">
        <v>58.491</v>
      </c>
      <c r="K13">
        <v>52.645000000000003</v>
      </c>
      <c r="L13">
        <v>49.731000000000002</v>
      </c>
      <c r="M13">
        <v>47.222999999999999</v>
      </c>
      <c r="N13">
        <v>43.392000000000003</v>
      </c>
      <c r="O13">
        <v>40.011000000000003</v>
      </c>
      <c r="P13">
        <v>34.753999999999998</v>
      </c>
      <c r="Q13">
        <v>33.74</v>
      </c>
      <c r="R13">
        <v>35.39</v>
      </c>
      <c r="S13">
        <v>31.29</v>
      </c>
    </row>
    <row r="14" spans="1:19" x14ac:dyDescent="0.3">
      <c r="A14" t="s">
        <v>19</v>
      </c>
      <c r="B14" t="s">
        <v>72</v>
      </c>
      <c r="C14" t="s">
        <v>73</v>
      </c>
      <c r="D14">
        <v>25.123000000000001</v>
      </c>
      <c r="E14">
        <v>23.678000000000001</v>
      </c>
      <c r="F14">
        <v>25.213000000000001</v>
      </c>
      <c r="G14">
        <v>32.354999999999997</v>
      </c>
      <c r="H14">
        <v>36.665999999999997</v>
      </c>
      <c r="I14">
        <v>42.118000000000002</v>
      </c>
      <c r="J14">
        <v>50.087000000000003</v>
      </c>
      <c r="K14">
        <v>45.600999999999999</v>
      </c>
      <c r="L14">
        <v>42.454999999999998</v>
      </c>
      <c r="M14">
        <v>31.408000000000001</v>
      </c>
      <c r="N14">
        <v>27.516999999999999</v>
      </c>
      <c r="O14">
        <v>23.896999999999998</v>
      </c>
      <c r="P14">
        <v>16.728999999999999</v>
      </c>
      <c r="Q14">
        <v>21.222000000000001</v>
      </c>
      <c r="R14">
        <v>21.995999999999999</v>
      </c>
      <c r="S14">
        <v>18.082999999999998</v>
      </c>
    </row>
    <row r="15" spans="1:19" x14ac:dyDescent="0.3">
      <c r="A15" t="s">
        <v>28</v>
      </c>
      <c r="B15" t="s">
        <v>72</v>
      </c>
      <c r="C15" t="s">
        <v>73</v>
      </c>
      <c r="D15">
        <v>18.158000000000001</v>
      </c>
      <c r="E15">
        <v>19.617000000000001</v>
      </c>
      <c r="F15">
        <v>26.395</v>
      </c>
      <c r="G15">
        <v>26.393000000000001</v>
      </c>
      <c r="H15">
        <v>25.957000000000001</v>
      </c>
      <c r="I15">
        <v>28.184999999999999</v>
      </c>
      <c r="J15">
        <v>26.545999999999999</v>
      </c>
      <c r="K15">
        <v>20.378</v>
      </c>
      <c r="L15">
        <v>17.271999999999998</v>
      </c>
      <c r="M15">
        <v>12.922000000000001</v>
      </c>
      <c r="N15">
        <v>10.698</v>
      </c>
      <c r="O15">
        <v>10.148999999999999</v>
      </c>
      <c r="P15">
        <v>11.4</v>
      </c>
      <c r="Q15">
        <v>12.757</v>
      </c>
      <c r="R15">
        <v>13.459</v>
      </c>
      <c r="S15">
        <v>10.558</v>
      </c>
    </row>
    <row r="16" spans="1:19" x14ac:dyDescent="0.3">
      <c r="A16" t="s">
        <v>18</v>
      </c>
      <c r="B16" t="s">
        <v>72</v>
      </c>
      <c r="C16" t="s">
        <v>73</v>
      </c>
      <c r="D16">
        <v>9.1590000000000007</v>
      </c>
      <c r="E16">
        <v>13.471</v>
      </c>
      <c r="F16">
        <v>24.509</v>
      </c>
      <c r="G16">
        <v>28.157</v>
      </c>
      <c r="H16">
        <v>29.579000000000001</v>
      </c>
      <c r="I16">
        <v>30.792000000000002</v>
      </c>
      <c r="J16">
        <v>26.731999999999999</v>
      </c>
      <c r="K16">
        <v>23.416</v>
      </c>
      <c r="L16">
        <v>20.234999999999999</v>
      </c>
      <c r="M16">
        <v>16.797000000000001</v>
      </c>
      <c r="N16">
        <v>14.401999999999999</v>
      </c>
      <c r="O16">
        <v>13.756</v>
      </c>
      <c r="P16">
        <v>12.457000000000001</v>
      </c>
      <c r="Q16">
        <v>15.263</v>
      </c>
      <c r="R16">
        <v>15.592000000000001</v>
      </c>
      <c r="S16">
        <v>9.3149999999999995</v>
      </c>
    </row>
    <row r="17" spans="1:19" x14ac:dyDescent="0.3">
      <c r="A17" t="s">
        <v>37</v>
      </c>
      <c r="B17" t="s">
        <v>72</v>
      </c>
      <c r="C17" t="s">
        <v>73</v>
      </c>
      <c r="D17">
        <v>20.384</v>
      </c>
      <c r="E17">
        <v>21.216999999999999</v>
      </c>
      <c r="F17">
        <v>25.352</v>
      </c>
      <c r="G17">
        <v>27.91</v>
      </c>
      <c r="H17">
        <v>29.145</v>
      </c>
      <c r="I17">
        <v>35.293999999999997</v>
      </c>
      <c r="J17">
        <v>40.021999999999998</v>
      </c>
      <c r="K17">
        <v>42.668999999999997</v>
      </c>
      <c r="L17">
        <v>40.316000000000003</v>
      </c>
      <c r="M17">
        <v>37.758000000000003</v>
      </c>
      <c r="N17">
        <v>34.725999999999999</v>
      </c>
      <c r="O17">
        <v>32.167999999999999</v>
      </c>
      <c r="P17">
        <v>29.152000000000001</v>
      </c>
      <c r="Q17">
        <v>29.39</v>
      </c>
      <c r="R17">
        <v>29.664999999999999</v>
      </c>
      <c r="S17">
        <v>23.704000000000001</v>
      </c>
    </row>
    <row r="18" spans="1:19" x14ac:dyDescent="0.3">
      <c r="A18" t="s">
        <v>21</v>
      </c>
      <c r="B18" t="s">
        <v>72</v>
      </c>
      <c r="C18" t="s">
        <v>73</v>
      </c>
      <c r="D18">
        <v>8.3940000000000001</v>
      </c>
      <c r="E18">
        <v>13.353</v>
      </c>
      <c r="F18">
        <v>29.584</v>
      </c>
      <c r="G18">
        <v>35.744</v>
      </c>
      <c r="H18">
        <v>32.587000000000003</v>
      </c>
      <c r="I18">
        <v>26.684000000000001</v>
      </c>
      <c r="J18">
        <v>21.896000000000001</v>
      </c>
      <c r="K18">
        <v>19.257999999999999</v>
      </c>
      <c r="L18">
        <v>16.302</v>
      </c>
      <c r="M18">
        <v>14.455</v>
      </c>
      <c r="N18">
        <v>13.266</v>
      </c>
      <c r="O18">
        <v>11.117000000000001</v>
      </c>
      <c r="P18">
        <v>11.85</v>
      </c>
      <c r="Q18">
        <v>19.556000000000001</v>
      </c>
      <c r="R18">
        <v>14.304</v>
      </c>
      <c r="S18">
        <v>11.872999999999999</v>
      </c>
    </row>
    <row r="19" spans="1:19" x14ac:dyDescent="0.3">
      <c r="A19" t="s">
        <v>26</v>
      </c>
      <c r="B19" t="s">
        <v>72</v>
      </c>
      <c r="C19" t="s">
        <v>73</v>
      </c>
      <c r="D19">
        <v>14.843</v>
      </c>
      <c r="E19">
        <v>17.783999999999999</v>
      </c>
      <c r="F19">
        <v>16.780999999999999</v>
      </c>
      <c r="G19">
        <v>13.917</v>
      </c>
      <c r="H19">
        <v>18.047999999999998</v>
      </c>
      <c r="I19">
        <v>16.577999999999999</v>
      </c>
      <c r="J19">
        <v>16.289000000000001</v>
      </c>
      <c r="K19">
        <v>24.277999999999999</v>
      </c>
      <c r="L19">
        <v>17.5</v>
      </c>
      <c r="M19">
        <v>21.986999999999998</v>
      </c>
      <c r="N19">
        <v>15.477</v>
      </c>
      <c r="O19">
        <v>14.182</v>
      </c>
      <c r="P19">
        <v>16.977</v>
      </c>
      <c r="Q19">
        <v>23.181999999999999</v>
      </c>
      <c r="R19">
        <v>18.666</v>
      </c>
      <c r="S19">
        <v>17.599</v>
      </c>
    </row>
    <row r="20" spans="1:19" x14ac:dyDescent="0.3">
      <c r="A20" t="s">
        <v>38</v>
      </c>
      <c r="B20" t="s">
        <v>72</v>
      </c>
      <c r="C20" t="s">
        <v>73</v>
      </c>
      <c r="D20">
        <v>10.56</v>
      </c>
      <c r="E20">
        <v>13.648</v>
      </c>
      <c r="F20">
        <v>33.432000000000002</v>
      </c>
      <c r="G20">
        <v>36.24</v>
      </c>
      <c r="H20">
        <v>31.068999999999999</v>
      </c>
      <c r="I20">
        <v>28.564</v>
      </c>
      <c r="J20">
        <v>23.236999999999998</v>
      </c>
      <c r="K20">
        <v>19.594999999999999</v>
      </c>
      <c r="L20">
        <v>16.315999999999999</v>
      </c>
      <c r="M20">
        <v>17.271000000000001</v>
      </c>
      <c r="N20">
        <v>16.971</v>
      </c>
      <c r="O20">
        <v>12.192</v>
      </c>
      <c r="P20">
        <v>12.414999999999999</v>
      </c>
      <c r="Q20">
        <v>14.868</v>
      </c>
      <c r="R20">
        <v>14.785</v>
      </c>
      <c r="S20">
        <v>15.27</v>
      </c>
    </row>
    <row r="21" spans="1:19" x14ac:dyDescent="0.3">
      <c r="A21" t="s">
        <v>39</v>
      </c>
      <c r="B21" t="s">
        <v>72</v>
      </c>
      <c r="C21" t="s">
        <v>73</v>
      </c>
      <c r="D21">
        <v>13.489000000000001</v>
      </c>
      <c r="E21">
        <v>11.617000000000001</v>
      </c>
      <c r="F21">
        <v>14.491</v>
      </c>
      <c r="G21">
        <v>13.228999999999999</v>
      </c>
      <c r="H21">
        <v>13.324999999999999</v>
      </c>
      <c r="I21">
        <v>13.824999999999999</v>
      </c>
      <c r="J21">
        <v>12.71</v>
      </c>
      <c r="K21">
        <v>11.677</v>
      </c>
      <c r="L21">
        <v>11.653</v>
      </c>
      <c r="M21">
        <v>10.696</v>
      </c>
      <c r="N21">
        <v>10.57</v>
      </c>
      <c r="O21">
        <v>9.0489999999999995</v>
      </c>
      <c r="P21">
        <v>9.3019999999999996</v>
      </c>
      <c r="Q21">
        <v>10.872</v>
      </c>
      <c r="R21">
        <v>9.4060000000000006</v>
      </c>
      <c r="S21">
        <v>8.24</v>
      </c>
    </row>
    <row r="22" spans="1:19" x14ac:dyDescent="0.3">
      <c r="A22" t="s">
        <v>29</v>
      </c>
      <c r="B22" t="s">
        <v>72</v>
      </c>
      <c r="C22" t="s">
        <v>73</v>
      </c>
      <c r="D22">
        <v>21.391999999999999</v>
      </c>
      <c r="E22">
        <v>17.097999999999999</v>
      </c>
      <c r="F22">
        <v>20.472000000000001</v>
      </c>
      <c r="G22">
        <v>23.576000000000001</v>
      </c>
      <c r="H22">
        <v>25.529</v>
      </c>
      <c r="I22">
        <v>26.312000000000001</v>
      </c>
      <c r="J22">
        <v>27.155999999999999</v>
      </c>
      <c r="K22">
        <v>23.73</v>
      </c>
      <c r="L22">
        <v>20.684000000000001</v>
      </c>
      <c r="M22">
        <v>17.588999999999999</v>
      </c>
      <c r="N22">
        <v>14.763</v>
      </c>
      <c r="O22">
        <v>11.682</v>
      </c>
      <c r="P22">
        <v>9.8320000000000007</v>
      </c>
      <c r="Q22">
        <v>10.831</v>
      </c>
      <c r="R22">
        <v>11.808</v>
      </c>
      <c r="S22">
        <v>10.55</v>
      </c>
    </row>
    <row r="23" spans="1:19" x14ac:dyDescent="0.3">
      <c r="A23" t="s">
        <v>33</v>
      </c>
      <c r="B23" t="s">
        <v>72</v>
      </c>
      <c r="C23" t="s">
        <v>73</v>
      </c>
      <c r="D23">
        <v>16.727</v>
      </c>
      <c r="E23">
        <v>16.663</v>
      </c>
      <c r="F23">
        <v>20.308</v>
      </c>
      <c r="G23">
        <v>22.753</v>
      </c>
      <c r="H23">
        <v>30.260999999999999</v>
      </c>
      <c r="I23">
        <v>37.917000000000002</v>
      </c>
      <c r="J23">
        <v>38.085999999999999</v>
      </c>
      <c r="K23">
        <v>34.753999999999998</v>
      </c>
      <c r="L23">
        <v>31.946999999999999</v>
      </c>
      <c r="M23">
        <v>27.95</v>
      </c>
      <c r="N23">
        <v>23.869</v>
      </c>
      <c r="O23">
        <v>20.305</v>
      </c>
      <c r="P23">
        <v>18.279</v>
      </c>
      <c r="Q23">
        <v>22.494</v>
      </c>
      <c r="R23">
        <v>23.474</v>
      </c>
      <c r="S23">
        <v>19.053999999999998</v>
      </c>
    </row>
    <row r="24" spans="1:19" x14ac:dyDescent="0.3">
      <c r="A24" t="s">
        <v>25</v>
      </c>
      <c r="B24" t="s">
        <v>72</v>
      </c>
      <c r="C24" t="s">
        <v>73</v>
      </c>
      <c r="D24">
        <v>20.649000000000001</v>
      </c>
      <c r="E24">
        <v>19.239999999999998</v>
      </c>
      <c r="F24">
        <v>21.46</v>
      </c>
      <c r="G24">
        <v>22.193000000000001</v>
      </c>
      <c r="H24">
        <v>24.074999999999999</v>
      </c>
      <c r="I24">
        <v>22.818000000000001</v>
      </c>
      <c r="J24">
        <v>24.029</v>
      </c>
      <c r="K24">
        <v>24.373999999999999</v>
      </c>
      <c r="L24">
        <v>22.038</v>
      </c>
      <c r="M24">
        <v>21.03</v>
      </c>
      <c r="N24">
        <v>18.731999999999999</v>
      </c>
      <c r="O24">
        <v>16.611999999999998</v>
      </c>
      <c r="P24">
        <v>17.146999999999998</v>
      </c>
      <c r="Q24">
        <v>17.585999999999999</v>
      </c>
      <c r="R24">
        <v>21.149000000000001</v>
      </c>
      <c r="S24">
        <v>22.870999999999999</v>
      </c>
    </row>
    <row r="25" spans="1:19" x14ac:dyDescent="0.3">
      <c r="A25" t="s">
        <v>42</v>
      </c>
      <c r="B25" t="s">
        <v>72</v>
      </c>
      <c r="C25" t="s">
        <v>73</v>
      </c>
      <c r="D25">
        <v>20.478999999999999</v>
      </c>
      <c r="E25">
        <v>19.068999999999999</v>
      </c>
      <c r="F25">
        <v>27.422999999999998</v>
      </c>
      <c r="G25">
        <v>33.749000000000002</v>
      </c>
      <c r="H25">
        <v>33.487000000000002</v>
      </c>
      <c r="I25">
        <v>34.101999999999997</v>
      </c>
      <c r="J25">
        <v>33.710999999999999</v>
      </c>
      <c r="K25">
        <v>26.745000000000001</v>
      </c>
      <c r="L25">
        <v>26.571000000000002</v>
      </c>
      <c r="M25">
        <v>22.274000000000001</v>
      </c>
      <c r="N25">
        <v>18.962</v>
      </c>
      <c r="O25">
        <v>14.971</v>
      </c>
      <c r="P25">
        <v>16.12</v>
      </c>
      <c r="Q25">
        <v>19.437999999999999</v>
      </c>
      <c r="R25">
        <v>21.210999999999999</v>
      </c>
      <c r="S25">
        <v>19.923999999999999</v>
      </c>
    </row>
    <row r="26" spans="1:19" x14ac:dyDescent="0.3">
      <c r="A26" t="s">
        <v>17</v>
      </c>
      <c r="B26" t="s">
        <v>72</v>
      </c>
      <c r="C26" t="s">
        <v>73</v>
      </c>
      <c r="D26">
        <v>10.127000000000001</v>
      </c>
      <c r="E26">
        <v>10.506</v>
      </c>
      <c r="F26">
        <v>13.661</v>
      </c>
      <c r="G26">
        <v>14.7</v>
      </c>
      <c r="H26">
        <v>15.763999999999999</v>
      </c>
      <c r="I26">
        <v>20.649000000000001</v>
      </c>
      <c r="J26">
        <v>21.664999999999999</v>
      </c>
      <c r="K26">
        <v>20.236000000000001</v>
      </c>
      <c r="L26">
        <v>16.298999999999999</v>
      </c>
      <c r="M26">
        <v>15.243</v>
      </c>
      <c r="N26">
        <v>11.24</v>
      </c>
      <c r="O26">
        <v>8.8170000000000002</v>
      </c>
      <c r="P26">
        <v>8.1359999999999992</v>
      </c>
      <c r="Q26">
        <v>14.179</v>
      </c>
      <c r="R26">
        <v>12.846</v>
      </c>
      <c r="S26">
        <v>10.14</v>
      </c>
    </row>
    <row r="27" spans="1:19" x14ac:dyDescent="0.3">
      <c r="A27" t="s">
        <v>20</v>
      </c>
      <c r="B27" t="s">
        <v>72</v>
      </c>
      <c r="C27" t="s">
        <v>73</v>
      </c>
      <c r="D27">
        <v>19.260000000000002</v>
      </c>
      <c r="E27">
        <v>20.206</v>
      </c>
      <c r="F27">
        <v>25.024000000000001</v>
      </c>
      <c r="G27">
        <v>24.760999999999999</v>
      </c>
      <c r="H27">
        <v>22.783999999999999</v>
      </c>
      <c r="I27">
        <v>23.609000000000002</v>
      </c>
      <c r="J27">
        <v>23.518999999999998</v>
      </c>
      <c r="K27">
        <v>22.821999999999999</v>
      </c>
      <c r="L27">
        <v>20.364999999999998</v>
      </c>
      <c r="M27">
        <v>18.896000000000001</v>
      </c>
      <c r="N27">
        <v>17.875</v>
      </c>
      <c r="O27">
        <v>17.399999999999999</v>
      </c>
      <c r="P27">
        <v>20.094000000000001</v>
      </c>
      <c r="Q27">
        <v>23.895</v>
      </c>
      <c r="R27">
        <v>24.599</v>
      </c>
      <c r="S27">
        <v>21.606999999999999</v>
      </c>
    </row>
    <row r="28" spans="1:19" x14ac:dyDescent="0.3">
      <c r="A28" t="s">
        <v>22</v>
      </c>
      <c r="D28">
        <v>9.1020000000000003</v>
      </c>
      <c r="E28">
        <v>8.32</v>
      </c>
      <c r="F28">
        <v>9.8759999999999994</v>
      </c>
      <c r="G28">
        <v>10.77</v>
      </c>
      <c r="H28">
        <v>9.7799999999999994</v>
      </c>
      <c r="I28">
        <v>11.457000000000001</v>
      </c>
      <c r="J28">
        <v>12.943</v>
      </c>
      <c r="K28">
        <v>12.529</v>
      </c>
      <c r="L28">
        <v>11.103</v>
      </c>
      <c r="M28">
        <v>10.638999999999999</v>
      </c>
      <c r="N28">
        <v>8.7149999999999999</v>
      </c>
      <c r="O28">
        <v>7.0439999999999996</v>
      </c>
      <c r="P28">
        <v>6.6040000000000001</v>
      </c>
      <c r="Q28">
        <v>8.875</v>
      </c>
      <c r="R28">
        <v>9.3309999999999995</v>
      </c>
      <c r="S28">
        <v>7.6429999999999998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A2F0-5073-4B7F-A6A0-106BE8EDBD4E}">
  <dimension ref="A1:U28"/>
  <sheetViews>
    <sheetView workbookViewId="0">
      <selection activeCell="D2" sqref="D2"/>
    </sheetView>
  </sheetViews>
  <sheetFormatPr defaultRowHeight="14.4" x14ac:dyDescent="0.3"/>
  <sheetData>
    <row r="1" spans="1:21" x14ac:dyDescent="0.3">
      <c r="A1" t="s">
        <v>65</v>
      </c>
      <c r="B1" t="s">
        <v>43</v>
      </c>
      <c r="C1" t="s">
        <v>44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</row>
    <row r="2" spans="1:21" x14ac:dyDescent="0.3">
      <c r="A2" t="s">
        <v>39</v>
      </c>
      <c r="B2" t="s">
        <v>70</v>
      </c>
      <c r="C2" t="s">
        <v>49</v>
      </c>
      <c r="D2" s="3">
        <v>46626</v>
      </c>
      <c r="E2" s="3">
        <v>47054</v>
      </c>
      <c r="F2" s="3">
        <v>49957</v>
      </c>
      <c r="G2" s="3">
        <v>50557</v>
      </c>
      <c r="H2" s="3">
        <v>51631</v>
      </c>
      <c r="I2" s="3">
        <v>53068</v>
      </c>
      <c r="J2" s="3">
        <v>54781</v>
      </c>
      <c r="K2" s="3">
        <v>56222</v>
      </c>
      <c r="L2" s="3">
        <v>56972</v>
      </c>
      <c r="M2" s="3">
        <v>58437</v>
      </c>
      <c r="N2">
        <v>59.99</v>
      </c>
      <c r="O2" s="3">
        <v>61831</v>
      </c>
      <c r="P2" s="3">
        <v>62883</v>
      </c>
      <c r="Q2" s="3">
        <v>63551</v>
      </c>
      <c r="R2" s="3">
        <v>65584</v>
      </c>
      <c r="S2" s="3">
        <v>68072</v>
      </c>
      <c r="T2" s="3">
        <v>69265</v>
      </c>
      <c r="U2" s="3">
        <v>65006</v>
      </c>
    </row>
    <row r="3" spans="1:21" x14ac:dyDescent="0.3">
      <c r="A3" t="s">
        <v>18</v>
      </c>
      <c r="B3" t="s">
        <v>70</v>
      </c>
      <c r="C3" t="s">
        <v>49</v>
      </c>
      <c r="D3" s="3">
        <v>63307</v>
      </c>
      <c r="E3" s="3">
        <v>61472</v>
      </c>
      <c r="F3" s="3">
        <v>56006</v>
      </c>
      <c r="G3" s="3">
        <v>53502</v>
      </c>
      <c r="H3" s="3">
        <v>52449</v>
      </c>
      <c r="I3" s="3">
        <v>52114</v>
      </c>
      <c r="J3" s="3">
        <v>53453</v>
      </c>
      <c r="K3" s="3">
        <v>54431</v>
      </c>
      <c r="L3" s="3">
        <v>55691</v>
      </c>
      <c r="M3" s="3">
        <v>56971</v>
      </c>
      <c r="N3" s="3">
        <v>57818</v>
      </c>
      <c r="O3" s="3">
        <v>58594</v>
      </c>
      <c r="P3" s="3">
        <v>59253</v>
      </c>
      <c r="Q3" s="3">
        <v>57684</v>
      </c>
      <c r="R3" s="3">
        <v>59629</v>
      </c>
      <c r="S3" s="3">
        <v>61792</v>
      </c>
      <c r="T3" s="3">
        <v>63699</v>
      </c>
      <c r="U3" s="3">
        <v>62992</v>
      </c>
    </row>
    <row r="4" spans="1:21" x14ac:dyDescent="0.3">
      <c r="A4" t="s">
        <v>30</v>
      </c>
      <c r="B4" t="s">
        <v>70</v>
      </c>
      <c r="C4" t="s">
        <v>49</v>
      </c>
      <c r="D4" s="3">
        <v>61863</v>
      </c>
      <c r="E4">
        <v>61.86</v>
      </c>
      <c r="F4" s="3">
        <v>60308</v>
      </c>
      <c r="G4" s="3">
        <v>60246</v>
      </c>
      <c r="H4" s="3">
        <v>58729</v>
      </c>
      <c r="I4" s="3">
        <v>55946</v>
      </c>
      <c r="J4" s="3">
        <v>53252</v>
      </c>
      <c r="K4" s="3">
        <v>53493</v>
      </c>
      <c r="L4" s="3">
        <v>53004</v>
      </c>
      <c r="M4" s="3">
        <v>53327</v>
      </c>
      <c r="N4" s="3">
        <v>54822</v>
      </c>
      <c r="O4" s="3">
        <v>57174</v>
      </c>
      <c r="P4" s="3">
        <v>58507</v>
      </c>
      <c r="Q4" s="3">
        <v>57935</v>
      </c>
      <c r="R4" s="3">
        <v>59035</v>
      </c>
      <c r="S4" s="3">
        <v>60678</v>
      </c>
      <c r="T4" s="3">
        <v>61716</v>
      </c>
      <c r="U4" s="3">
        <v>61921</v>
      </c>
    </row>
    <row r="5" spans="1:21" x14ac:dyDescent="0.3">
      <c r="A5" t="s">
        <v>36</v>
      </c>
      <c r="B5" t="s">
        <v>70</v>
      </c>
      <c r="C5" t="s">
        <v>49</v>
      </c>
      <c r="D5" s="3">
        <v>57773</v>
      </c>
      <c r="E5" s="3">
        <v>57773</v>
      </c>
      <c r="F5" s="3">
        <v>52493</v>
      </c>
      <c r="G5" s="3">
        <v>50392</v>
      </c>
      <c r="H5" s="3">
        <v>53747</v>
      </c>
      <c r="I5" s="3">
        <v>55167</v>
      </c>
      <c r="J5" s="3">
        <v>56033</v>
      </c>
      <c r="K5" s="3">
        <v>56627</v>
      </c>
      <c r="L5" s="3">
        <v>58139</v>
      </c>
      <c r="M5" s="3">
        <v>58653</v>
      </c>
      <c r="N5" s="3">
        <v>59889</v>
      </c>
      <c r="O5" s="3">
        <v>60397</v>
      </c>
      <c r="P5" s="3">
        <v>60706</v>
      </c>
      <c r="Q5" s="3">
        <v>59098</v>
      </c>
      <c r="R5" s="3">
        <v>59753</v>
      </c>
      <c r="S5" s="3">
        <v>61987</v>
      </c>
      <c r="T5" s="3">
        <v>62219</v>
      </c>
      <c r="U5" s="3">
        <v>61953</v>
      </c>
    </row>
    <row r="6" spans="1:21" x14ac:dyDescent="0.3">
      <c r="A6" t="s">
        <v>33</v>
      </c>
      <c r="B6" t="s">
        <v>70</v>
      </c>
      <c r="C6" t="s">
        <v>49</v>
      </c>
      <c r="D6">
        <v>57.25</v>
      </c>
      <c r="E6" s="3">
        <v>57344</v>
      </c>
      <c r="F6" s="3">
        <v>55568</v>
      </c>
      <c r="G6" s="3">
        <v>54631</v>
      </c>
      <c r="H6" s="3">
        <v>52695</v>
      </c>
      <c r="I6" s="3">
        <v>50724</v>
      </c>
      <c r="J6" s="3">
        <v>49562</v>
      </c>
      <c r="K6" s="3">
        <v>50548</v>
      </c>
      <c r="L6" s="3">
        <v>51231</v>
      </c>
      <c r="M6" s="3">
        <v>51895</v>
      </c>
      <c r="N6" s="3">
        <v>53619</v>
      </c>
      <c r="O6" s="3">
        <v>54819</v>
      </c>
      <c r="P6" s="3">
        <v>55138</v>
      </c>
      <c r="Q6" s="3">
        <v>53566</v>
      </c>
      <c r="R6" s="3">
        <v>52947</v>
      </c>
      <c r="S6">
        <v>54.22</v>
      </c>
      <c r="T6" s="3">
        <v>54873</v>
      </c>
      <c r="U6" s="3">
        <v>54916</v>
      </c>
    </row>
    <row r="7" spans="1:21" x14ac:dyDescent="0.3">
      <c r="A7" t="s">
        <v>24</v>
      </c>
      <c r="B7" t="s">
        <v>70</v>
      </c>
      <c r="C7" t="s">
        <v>49</v>
      </c>
      <c r="D7" s="3">
        <v>55647</v>
      </c>
      <c r="E7" s="3">
        <v>55933</v>
      </c>
      <c r="F7" s="3">
        <v>54768</v>
      </c>
      <c r="G7" s="3">
        <v>54188</v>
      </c>
      <c r="H7" s="3">
        <v>54351</v>
      </c>
      <c r="I7" s="3">
        <v>54548</v>
      </c>
      <c r="J7" s="3">
        <v>55154</v>
      </c>
      <c r="K7" s="3">
        <v>55687</v>
      </c>
      <c r="L7" s="3">
        <v>56425</v>
      </c>
      <c r="M7" s="3">
        <v>57551</v>
      </c>
      <c r="N7" s="3">
        <v>58478</v>
      </c>
      <c r="O7" s="3">
        <v>59203</v>
      </c>
      <c r="P7" s="3">
        <v>59164</v>
      </c>
      <c r="Q7" s="3">
        <v>58268</v>
      </c>
      <c r="R7" s="3">
        <v>58153</v>
      </c>
      <c r="S7" s="3">
        <v>58529</v>
      </c>
      <c r="T7" s="3">
        <v>58404</v>
      </c>
      <c r="U7" s="3">
        <v>59031</v>
      </c>
    </row>
    <row r="8" spans="1:21" x14ac:dyDescent="0.3">
      <c r="A8" t="s">
        <v>37</v>
      </c>
      <c r="B8" t="s">
        <v>70</v>
      </c>
      <c r="C8" t="s">
        <v>49</v>
      </c>
      <c r="D8">
        <v>45.79</v>
      </c>
      <c r="E8">
        <v>45.8</v>
      </c>
      <c r="F8">
        <v>44.72</v>
      </c>
      <c r="G8" s="3">
        <v>44173</v>
      </c>
      <c r="H8" s="3">
        <v>44118</v>
      </c>
      <c r="I8" s="3">
        <v>43852</v>
      </c>
      <c r="J8" s="3">
        <v>42865</v>
      </c>
      <c r="K8" s="3">
        <v>42836</v>
      </c>
      <c r="L8" s="3">
        <v>43142</v>
      </c>
      <c r="M8" s="3">
        <v>43715</v>
      </c>
      <c r="N8" s="3">
        <v>44228</v>
      </c>
      <c r="O8" s="3">
        <v>44572</v>
      </c>
      <c r="P8" s="3">
        <v>44895</v>
      </c>
      <c r="Q8">
        <v>43.94</v>
      </c>
      <c r="R8">
        <v>43.96</v>
      </c>
      <c r="S8" s="3">
        <v>45138</v>
      </c>
      <c r="T8" s="3">
        <v>46068</v>
      </c>
      <c r="U8" s="3">
        <v>46599</v>
      </c>
    </row>
    <row r="9" spans="1:21" x14ac:dyDescent="0.3">
      <c r="A9" t="s">
        <v>28</v>
      </c>
      <c r="B9" t="s">
        <v>70</v>
      </c>
      <c r="C9" t="s">
        <v>49</v>
      </c>
      <c r="D9" s="3">
        <v>46597</v>
      </c>
      <c r="E9" s="3">
        <v>46007</v>
      </c>
      <c r="F9" s="3">
        <v>44855</v>
      </c>
      <c r="G9" s="3">
        <v>44719</v>
      </c>
      <c r="H9" s="3">
        <v>45088</v>
      </c>
      <c r="I9" s="3">
        <v>45976</v>
      </c>
      <c r="J9">
        <v>46.87</v>
      </c>
      <c r="K9" s="3">
        <v>49534</v>
      </c>
      <c r="L9" s="3">
        <v>51026</v>
      </c>
      <c r="M9" s="3">
        <v>52847</v>
      </c>
      <c r="N9" s="3">
        <v>53935</v>
      </c>
      <c r="O9" s="3">
        <v>54888</v>
      </c>
      <c r="P9" s="3">
        <v>55414</v>
      </c>
      <c r="Q9" s="3">
        <v>54727</v>
      </c>
      <c r="R9" s="3">
        <v>57341</v>
      </c>
      <c r="S9" s="3">
        <v>58295</v>
      </c>
      <c r="T9">
        <v>58.72</v>
      </c>
      <c r="U9" s="3">
        <v>58833</v>
      </c>
    </row>
    <row r="10" spans="1:21" x14ac:dyDescent="0.3">
      <c r="A10" t="s">
        <v>34</v>
      </c>
      <c r="B10" t="s">
        <v>70</v>
      </c>
      <c r="C10" t="s">
        <v>49</v>
      </c>
      <c r="D10" s="3">
        <v>53755</v>
      </c>
      <c r="E10">
        <v>52.69</v>
      </c>
      <c r="F10" s="3">
        <v>48879</v>
      </c>
      <c r="G10" s="3">
        <v>47785</v>
      </c>
      <c r="H10">
        <v>46.91</v>
      </c>
      <c r="I10" s="3">
        <v>44925</v>
      </c>
      <c r="J10" s="3">
        <v>43883</v>
      </c>
      <c r="K10">
        <v>44.55</v>
      </c>
      <c r="L10" s="3">
        <v>45853</v>
      </c>
      <c r="M10" s="3">
        <v>47032</v>
      </c>
      <c r="N10" s="3">
        <v>48107</v>
      </c>
      <c r="O10" s="3">
        <v>49088</v>
      </c>
      <c r="P10" s="3">
        <v>49751</v>
      </c>
      <c r="Q10">
        <v>47.91</v>
      </c>
      <c r="R10">
        <v>49.05</v>
      </c>
      <c r="S10" s="3">
        <v>50252</v>
      </c>
      <c r="T10" s="3">
        <v>50992</v>
      </c>
      <c r="U10" s="3">
        <v>51438</v>
      </c>
    </row>
    <row r="11" spans="1:21" x14ac:dyDescent="0.3">
      <c r="A11" t="s">
        <v>27</v>
      </c>
      <c r="B11" t="s">
        <v>70</v>
      </c>
      <c r="C11" t="s">
        <v>49</v>
      </c>
      <c r="D11" s="3">
        <v>56893</v>
      </c>
      <c r="E11" s="3">
        <v>57558</v>
      </c>
      <c r="F11" s="3">
        <v>57107</v>
      </c>
      <c r="G11" s="3">
        <v>57343</v>
      </c>
      <c r="H11" s="3">
        <v>57558</v>
      </c>
      <c r="I11">
        <v>57.67</v>
      </c>
      <c r="J11" s="3">
        <v>57538</v>
      </c>
      <c r="K11">
        <v>57.16</v>
      </c>
      <c r="L11" s="3">
        <v>57115</v>
      </c>
      <c r="M11" s="3">
        <v>57427</v>
      </c>
      <c r="N11" s="3">
        <v>57703</v>
      </c>
      <c r="O11" s="3">
        <v>58298</v>
      </c>
      <c r="P11" s="3">
        <v>58514</v>
      </c>
      <c r="Q11" s="3">
        <v>57651</v>
      </c>
      <c r="R11" s="3">
        <v>57202</v>
      </c>
      <c r="S11" s="3">
        <v>58441</v>
      </c>
      <c r="T11" s="3">
        <v>58364</v>
      </c>
      <c r="U11" s="3">
        <v>58314</v>
      </c>
    </row>
    <row r="12" spans="1:21" x14ac:dyDescent="0.3">
      <c r="A12" t="s">
        <v>17</v>
      </c>
      <c r="B12" t="s">
        <v>70</v>
      </c>
      <c r="C12" t="s">
        <v>49</v>
      </c>
      <c r="D12" s="3">
        <v>56818</v>
      </c>
      <c r="E12" s="3">
        <v>56888</v>
      </c>
      <c r="F12">
        <v>55.95</v>
      </c>
      <c r="G12" s="3">
        <v>54889</v>
      </c>
      <c r="H12" s="3">
        <v>53193</v>
      </c>
      <c r="I12" s="3">
        <v>52449</v>
      </c>
      <c r="J12" s="3">
        <v>51461</v>
      </c>
      <c r="K12" s="3">
        <v>52096</v>
      </c>
      <c r="L12" s="3">
        <v>52179</v>
      </c>
      <c r="M12" s="3">
        <v>52068</v>
      </c>
      <c r="N12">
        <v>54.59</v>
      </c>
      <c r="O12" s="3">
        <v>55805</v>
      </c>
      <c r="P12" s="3">
        <v>55485</v>
      </c>
      <c r="Q12" s="3">
        <v>54891</v>
      </c>
      <c r="R12" s="3">
        <v>55704</v>
      </c>
      <c r="S12" s="3">
        <v>56579</v>
      </c>
      <c r="T12" s="3">
        <v>56387</v>
      </c>
      <c r="U12" s="3">
        <v>56563</v>
      </c>
    </row>
    <row r="13" spans="1:21" x14ac:dyDescent="0.3">
      <c r="A13" t="s">
        <v>25</v>
      </c>
      <c r="B13" t="s">
        <v>70</v>
      </c>
      <c r="C13" t="s">
        <v>49</v>
      </c>
      <c r="D13" s="3">
        <v>51257</v>
      </c>
      <c r="E13" s="3">
        <v>51354</v>
      </c>
      <c r="F13" s="3">
        <v>50706</v>
      </c>
      <c r="G13" s="3">
        <v>51051</v>
      </c>
      <c r="H13" s="3">
        <v>50227</v>
      </c>
      <c r="I13" s="3">
        <v>50903</v>
      </c>
      <c r="J13" s="3">
        <v>50663</v>
      </c>
      <c r="K13" s="3">
        <v>51138</v>
      </c>
      <c r="L13" s="3">
        <v>50828</v>
      </c>
      <c r="M13" s="3">
        <v>50552</v>
      </c>
      <c r="N13" s="3">
        <v>52232</v>
      </c>
      <c r="O13" s="3">
        <v>52675</v>
      </c>
      <c r="P13" s="3">
        <v>52983</v>
      </c>
      <c r="Q13">
        <v>52.29</v>
      </c>
      <c r="R13" s="3">
        <v>48214</v>
      </c>
      <c r="S13" s="3">
        <v>48921</v>
      </c>
      <c r="T13" s="3">
        <v>48595</v>
      </c>
      <c r="U13">
        <v>49.21</v>
      </c>
    </row>
    <row r="14" spans="1:21" x14ac:dyDescent="0.3">
      <c r="A14" t="s">
        <v>41</v>
      </c>
      <c r="B14" t="s">
        <v>70</v>
      </c>
      <c r="C14" t="s">
        <v>49</v>
      </c>
      <c r="D14">
        <v>54.01</v>
      </c>
      <c r="E14" s="3">
        <v>54912</v>
      </c>
      <c r="F14" s="3">
        <v>54951</v>
      </c>
      <c r="G14" s="3">
        <v>55149</v>
      </c>
      <c r="H14" s="3">
        <v>56551</v>
      </c>
      <c r="I14" s="3">
        <v>56848</v>
      </c>
      <c r="J14" s="3">
        <v>57159</v>
      </c>
      <c r="K14" s="3">
        <v>57426</v>
      </c>
      <c r="L14" s="3">
        <v>57438</v>
      </c>
      <c r="M14" s="3">
        <v>58523</v>
      </c>
      <c r="N14" s="3">
        <v>58926</v>
      </c>
      <c r="O14">
        <v>59.19</v>
      </c>
      <c r="P14" s="3">
        <v>60006</v>
      </c>
      <c r="Q14" s="3">
        <v>58207</v>
      </c>
      <c r="R14" s="3">
        <v>58411</v>
      </c>
      <c r="S14" s="3">
        <v>59086</v>
      </c>
      <c r="T14" s="3">
        <v>59625</v>
      </c>
      <c r="U14" s="3">
        <v>59577</v>
      </c>
    </row>
    <row r="15" spans="1:21" x14ac:dyDescent="0.3">
      <c r="A15" t="s">
        <v>42</v>
      </c>
      <c r="B15" t="s">
        <v>70</v>
      </c>
      <c r="C15" t="s">
        <v>49</v>
      </c>
      <c r="D15" s="3">
        <v>52294</v>
      </c>
      <c r="E15" s="3">
        <v>53673</v>
      </c>
      <c r="F15" s="3">
        <v>51799</v>
      </c>
      <c r="G15" s="3">
        <v>50522</v>
      </c>
      <c r="H15" s="3">
        <v>50772</v>
      </c>
      <c r="I15" s="3">
        <v>50945</v>
      </c>
      <c r="J15" s="3">
        <v>50861</v>
      </c>
      <c r="K15" s="3">
        <v>52817</v>
      </c>
      <c r="L15" s="3">
        <v>52816</v>
      </c>
      <c r="M15" s="3">
        <v>54261</v>
      </c>
      <c r="N15" s="3">
        <v>55086</v>
      </c>
      <c r="O15">
        <v>55.9</v>
      </c>
      <c r="P15" s="3">
        <v>56256</v>
      </c>
      <c r="Q15" s="3">
        <v>55069</v>
      </c>
      <c r="R15" s="3">
        <v>56347</v>
      </c>
      <c r="S15" s="3">
        <v>57755</v>
      </c>
      <c r="T15" s="3">
        <v>58001</v>
      </c>
      <c r="U15" s="3">
        <v>58208</v>
      </c>
    </row>
    <row r="16" spans="1:21" x14ac:dyDescent="0.3">
      <c r="A16" t="s">
        <v>22</v>
      </c>
      <c r="B16" t="s">
        <v>70</v>
      </c>
      <c r="C16" t="s">
        <v>49</v>
      </c>
      <c r="D16" s="3">
        <v>61856</v>
      </c>
      <c r="E16">
        <v>62.86</v>
      </c>
      <c r="F16" s="3">
        <v>62538</v>
      </c>
      <c r="G16" s="3">
        <v>61584</v>
      </c>
      <c r="H16" s="3">
        <v>61332</v>
      </c>
      <c r="I16" s="3">
        <v>61223</v>
      </c>
      <c r="J16" s="3">
        <v>60259</v>
      </c>
      <c r="K16" s="3">
        <v>59586</v>
      </c>
      <c r="L16" s="3">
        <v>59961</v>
      </c>
      <c r="M16" s="3">
        <v>60228</v>
      </c>
      <c r="N16" s="3">
        <v>60938</v>
      </c>
      <c r="O16" s="3">
        <v>61798</v>
      </c>
      <c r="P16" s="3">
        <v>62608</v>
      </c>
      <c r="Q16" s="3">
        <v>62062</v>
      </c>
      <c r="R16" s="3">
        <v>64168</v>
      </c>
      <c r="S16" s="3">
        <v>65505</v>
      </c>
      <c r="T16" s="3">
        <v>66154</v>
      </c>
      <c r="U16" s="3">
        <v>66152</v>
      </c>
    </row>
    <row r="17" spans="1:21" x14ac:dyDescent="0.3">
      <c r="A17" t="s">
        <v>31</v>
      </c>
      <c r="B17" t="s">
        <v>70</v>
      </c>
      <c r="C17" t="s">
        <v>49</v>
      </c>
      <c r="D17" s="3">
        <v>63215</v>
      </c>
      <c r="E17" s="3">
        <v>62688</v>
      </c>
      <c r="F17" s="3">
        <v>60267</v>
      </c>
      <c r="G17" s="3">
        <v>58578</v>
      </c>
      <c r="H17">
        <v>58.15</v>
      </c>
      <c r="I17" s="3">
        <v>57453</v>
      </c>
      <c r="J17" s="3">
        <v>56884</v>
      </c>
      <c r="K17" s="3">
        <v>57016</v>
      </c>
      <c r="L17" s="3">
        <v>57467</v>
      </c>
      <c r="M17" s="3">
        <v>57959</v>
      </c>
      <c r="N17" s="3">
        <v>58116</v>
      </c>
      <c r="O17" s="3">
        <v>58644</v>
      </c>
      <c r="P17" s="3">
        <v>59245</v>
      </c>
      <c r="Q17" s="3">
        <v>58536</v>
      </c>
      <c r="R17" s="3">
        <v>59366</v>
      </c>
      <c r="S17" s="3">
        <v>60561</v>
      </c>
      <c r="T17" s="3">
        <v>60408</v>
      </c>
      <c r="U17" s="3">
        <v>61212</v>
      </c>
    </row>
    <row r="18" spans="1:21" x14ac:dyDescent="0.3">
      <c r="A18" t="s">
        <v>32</v>
      </c>
      <c r="B18" t="s">
        <v>70</v>
      </c>
      <c r="C18" t="s">
        <v>49</v>
      </c>
      <c r="D18" s="3">
        <v>47985</v>
      </c>
      <c r="E18" s="3">
        <v>48435</v>
      </c>
      <c r="F18" s="3">
        <v>47827</v>
      </c>
      <c r="G18" s="3">
        <v>46261</v>
      </c>
      <c r="H18" s="3">
        <v>42842</v>
      </c>
      <c r="I18" s="3">
        <v>39113</v>
      </c>
      <c r="J18" s="3">
        <v>37398</v>
      </c>
      <c r="K18" s="3">
        <v>37765</v>
      </c>
      <c r="L18" s="3">
        <v>38726</v>
      </c>
      <c r="M18" s="3">
        <v>39516</v>
      </c>
      <c r="N18" s="3">
        <v>40556</v>
      </c>
      <c r="O18" s="3">
        <v>41581</v>
      </c>
      <c r="P18" s="3">
        <v>42657</v>
      </c>
      <c r="Q18" s="3">
        <v>42462</v>
      </c>
      <c r="R18">
        <v>43.33</v>
      </c>
      <c r="S18" s="3">
        <v>45754</v>
      </c>
      <c r="T18" s="3">
        <v>46403</v>
      </c>
      <c r="U18" s="3">
        <v>47422</v>
      </c>
    </row>
    <row r="19" spans="1:21" x14ac:dyDescent="0.3">
      <c r="A19" t="s">
        <v>38</v>
      </c>
      <c r="B19" t="s">
        <v>70</v>
      </c>
      <c r="C19" t="s">
        <v>49</v>
      </c>
      <c r="D19" s="3">
        <v>56609</v>
      </c>
      <c r="E19" s="3">
        <v>56782</v>
      </c>
      <c r="F19" s="3">
        <v>49598</v>
      </c>
      <c r="G19" s="3">
        <v>47412</v>
      </c>
      <c r="H19" s="3">
        <v>49039</v>
      </c>
      <c r="I19">
        <v>50.74</v>
      </c>
      <c r="J19" s="3">
        <v>52381</v>
      </c>
      <c r="K19" s="3">
        <v>52844</v>
      </c>
      <c r="L19" s="3">
        <v>54135</v>
      </c>
      <c r="M19" s="3">
        <v>54592</v>
      </c>
      <c r="N19">
        <v>55.53</v>
      </c>
      <c r="O19" s="3">
        <v>56886</v>
      </c>
      <c r="P19" s="3">
        <v>57363</v>
      </c>
      <c r="Q19">
        <v>56.68</v>
      </c>
      <c r="R19" s="3">
        <v>55664</v>
      </c>
      <c r="S19" s="3">
        <v>56973</v>
      </c>
      <c r="T19">
        <v>57.22</v>
      </c>
      <c r="U19" s="3">
        <v>56921</v>
      </c>
    </row>
    <row r="20" spans="1:21" x14ac:dyDescent="0.3">
      <c r="A20" t="s">
        <v>20</v>
      </c>
      <c r="B20" t="s">
        <v>70</v>
      </c>
      <c r="C20" t="s">
        <v>49</v>
      </c>
      <c r="D20" s="3">
        <v>59763</v>
      </c>
      <c r="E20" s="3">
        <v>59949</v>
      </c>
      <c r="F20" s="3">
        <v>58023</v>
      </c>
      <c r="G20" s="3">
        <v>64461</v>
      </c>
      <c r="H20">
        <v>65.400000000000006</v>
      </c>
      <c r="I20">
        <v>65.459999999999994</v>
      </c>
      <c r="J20" s="3">
        <v>65744</v>
      </c>
      <c r="K20" s="3">
        <v>66232</v>
      </c>
      <c r="L20">
        <v>66.650000000000006</v>
      </c>
      <c r="M20" s="3">
        <v>67054</v>
      </c>
      <c r="N20" s="3">
        <v>67838</v>
      </c>
      <c r="O20">
        <v>68.33</v>
      </c>
      <c r="P20" s="3">
        <v>68344</v>
      </c>
      <c r="Q20" s="3">
        <v>67212</v>
      </c>
      <c r="R20" s="3">
        <v>60699</v>
      </c>
      <c r="S20" s="3">
        <v>61967</v>
      </c>
      <c r="T20" s="3">
        <v>62389</v>
      </c>
      <c r="U20" s="3">
        <v>61696</v>
      </c>
    </row>
    <row r="21" spans="1:21" x14ac:dyDescent="0.3">
      <c r="A21" t="s">
        <v>29</v>
      </c>
      <c r="B21" t="s">
        <v>70</v>
      </c>
      <c r="C21" t="s">
        <v>49</v>
      </c>
      <c r="D21" s="3">
        <v>48839</v>
      </c>
      <c r="E21" s="3">
        <v>50688</v>
      </c>
      <c r="F21" s="3">
        <v>50696</v>
      </c>
      <c r="G21" s="3">
        <v>50334</v>
      </c>
      <c r="H21">
        <v>50.54</v>
      </c>
      <c r="I21" s="3">
        <v>50564</v>
      </c>
      <c r="J21" s="3">
        <v>50343</v>
      </c>
      <c r="K21" s="3">
        <v>51307</v>
      </c>
      <c r="L21" s="3">
        <v>52177</v>
      </c>
      <c r="M21" s="3">
        <v>53015</v>
      </c>
      <c r="N21" s="3">
        <v>53934</v>
      </c>
      <c r="O21" s="3">
        <v>54413</v>
      </c>
      <c r="P21" s="3">
        <v>54605</v>
      </c>
      <c r="Q21" s="3">
        <v>54579</v>
      </c>
      <c r="R21" s="3">
        <v>56236</v>
      </c>
      <c r="S21" s="3">
        <v>56724</v>
      </c>
      <c r="T21" s="3">
        <v>57228</v>
      </c>
      <c r="U21">
        <v>57.11</v>
      </c>
    </row>
    <row r="22" spans="1:21" x14ac:dyDescent="0.3">
      <c r="A22" t="s">
        <v>23</v>
      </c>
      <c r="B22" t="s">
        <v>70</v>
      </c>
      <c r="C22" t="s">
        <v>49</v>
      </c>
      <c r="D22" s="3">
        <v>57008</v>
      </c>
      <c r="E22" s="3">
        <v>57563</v>
      </c>
      <c r="F22" s="3">
        <v>55501</v>
      </c>
      <c r="G22" s="3">
        <v>54897</v>
      </c>
      <c r="H22" s="3">
        <v>55262</v>
      </c>
      <c r="I22" s="3">
        <v>55135</v>
      </c>
      <c r="J22" s="3">
        <v>54296</v>
      </c>
      <c r="K22" s="3">
        <v>53801</v>
      </c>
      <c r="L22">
        <v>53.43</v>
      </c>
      <c r="M22" s="3">
        <v>53439</v>
      </c>
      <c r="N22">
        <v>53.77</v>
      </c>
      <c r="O22" s="3">
        <v>55051</v>
      </c>
      <c r="P22" s="3">
        <v>55376</v>
      </c>
      <c r="Q22">
        <v>54.41</v>
      </c>
      <c r="R22" s="3">
        <v>55811</v>
      </c>
      <c r="S22" s="3">
        <v>57021</v>
      </c>
      <c r="T22" s="3">
        <v>56736</v>
      </c>
      <c r="U22" s="3">
        <v>55612</v>
      </c>
    </row>
    <row r="23" spans="1:21" x14ac:dyDescent="0.3">
      <c r="A23" t="s">
        <v>40</v>
      </c>
      <c r="B23" t="s">
        <v>70</v>
      </c>
      <c r="C23" t="s">
        <v>49</v>
      </c>
      <c r="D23" s="3">
        <v>48979</v>
      </c>
      <c r="E23">
        <v>50.79</v>
      </c>
      <c r="F23" s="3">
        <v>49407</v>
      </c>
      <c r="G23" s="3">
        <v>47905</v>
      </c>
      <c r="H23" s="3">
        <v>46599</v>
      </c>
      <c r="I23" s="3">
        <v>46566</v>
      </c>
      <c r="J23" s="3">
        <v>46925</v>
      </c>
      <c r="K23" s="3">
        <v>47958</v>
      </c>
      <c r="L23" s="3">
        <v>49124</v>
      </c>
      <c r="M23" s="3">
        <v>49292</v>
      </c>
      <c r="N23" s="3">
        <v>51942</v>
      </c>
      <c r="O23">
        <v>52.44</v>
      </c>
      <c r="P23" s="3">
        <v>53651</v>
      </c>
      <c r="Q23" s="3">
        <v>52274</v>
      </c>
      <c r="R23" s="3">
        <v>51658</v>
      </c>
      <c r="S23" s="3">
        <v>53154</v>
      </c>
      <c r="T23" s="3">
        <v>53251</v>
      </c>
      <c r="U23" s="3">
        <v>53227</v>
      </c>
    </row>
    <row r="24" spans="1:21" x14ac:dyDescent="0.3">
      <c r="A24" t="s">
        <v>35</v>
      </c>
      <c r="B24" t="s">
        <v>70</v>
      </c>
      <c r="C24" t="s">
        <v>49</v>
      </c>
      <c r="D24" s="3">
        <v>49589</v>
      </c>
      <c r="E24" s="3">
        <v>49934</v>
      </c>
      <c r="F24" s="3">
        <v>49244</v>
      </c>
      <c r="G24" s="3">
        <v>49586</v>
      </c>
      <c r="H24">
        <v>49.4</v>
      </c>
      <c r="I24" s="3">
        <v>49233</v>
      </c>
      <c r="J24" s="3">
        <v>49047</v>
      </c>
      <c r="K24" s="3">
        <v>48946</v>
      </c>
      <c r="L24" s="3">
        <v>48788</v>
      </c>
      <c r="M24" s="3">
        <v>48952</v>
      </c>
      <c r="N24" s="3">
        <v>50021</v>
      </c>
      <c r="O24" s="3">
        <v>50965</v>
      </c>
      <c r="P24" s="3">
        <v>51475</v>
      </c>
      <c r="Q24">
        <v>50.83</v>
      </c>
      <c r="R24" s="3">
        <v>51079</v>
      </c>
      <c r="S24" s="3">
        <v>52026</v>
      </c>
      <c r="T24" s="3">
        <v>51946</v>
      </c>
      <c r="U24" s="3">
        <v>51972</v>
      </c>
    </row>
    <row r="25" spans="1:21" x14ac:dyDescent="0.3">
      <c r="A25" t="s">
        <v>14</v>
      </c>
      <c r="B25" t="s">
        <v>70</v>
      </c>
      <c r="C25" t="s">
        <v>49</v>
      </c>
      <c r="D25" s="3">
        <v>51498</v>
      </c>
      <c r="E25" s="3">
        <v>51928</v>
      </c>
      <c r="F25" s="3">
        <v>51193</v>
      </c>
      <c r="G25" s="3">
        <v>51031</v>
      </c>
      <c r="H25" s="3">
        <v>50859</v>
      </c>
      <c r="I25" s="3">
        <v>50727</v>
      </c>
      <c r="J25" s="3">
        <v>50838</v>
      </c>
      <c r="K25" s="3">
        <v>50336</v>
      </c>
      <c r="L25" s="3">
        <v>50256</v>
      </c>
      <c r="M25" s="3">
        <v>50308</v>
      </c>
      <c r="N25" s="3">
        <v>50403</v>
      </c>
      <c r="O25" s="3">
        <v>50608</v>
      </c>
      <c r="P25" s="3">
        <v>50621</v>
      </c>
      <c r="Q25" s="3">
        <v>50167</v>
      </c>
      <c r="R25" s="3">
        <v>51536</v>
      </c>
      <c r="S25" s="3">
        <v>52115</v>
      </c>
      <c r="T25" s="3">
        <v>52186</v>
      </c>
      <c r="U25" s="3">
        <v>52422</v>
      </c>
    </row>
    <row r="26" spans="1:21" x14ac:dyDescent="0.3">
      <c r="A26" t="s">
        <v>26</v>
      </c>
      <c r="B26" t="s">
        <v>70</v>
      </c>
      <c r="C26" t="s">
        <v>49</v>
      </c>
      <c r="D26" s="3">
        <v>53657</v>
      </c>
      <c r="E26" s="3">
        <v>53177</v>
      </c>
      <c r="F26" s="3">
        <v>55058</v>
      </c>
      <c r="G26" s="3">
        <v>55111</v>
      </c>
      <c r="H26" s="3">
        <v>54586</v>
      </c>
      <c r="I26" s="3">
        <v>55823</v>
      </c>
      <c r="J26" s="3">
        <v>55728</v>
      </c>
      <c r="K26" s="3">
        <v>56176</v>
      </c>
      <c r="L26" s="3">
        <v>56429</v>
      </c>
      <c r="M26" s="3">
        <v>55867</v>
      </c>
      <c r="N26" s="3">
        <v>56022</v>
      </c>
      <c r="O26" s="3">
        <v>56542</v>
      </c>
      <c r="P26" s="3">
        <v>57249</v>
      </c>
      <c r="Q26" s="3">
        <v>56677</v>
      </c>
      <c r="R26" s="3">
        <v>58745</v>
      </c>
      <c r="S26" s="3">
        <v>58732</v>
      </c>
      <c r="T26" s="3">
        <v>59017</v>
      </c>
      <c r="U26" s="3">
        <v>58334</v>
      </c>
    </row>
    <row r="27" spans="1:21" x14ac:dyDescent="0.3">
      <c r="A27" t="s">
        <v>21</v>
      </c>
      <c r="B27" t="s">
        <v>70</v>
      </c>
      <c r="C27" t="s">
        <v>49</v>
      </c>
      <c r="D27" s="3">
        <v>53184</v>
      </c>
      <c r="E27" s="3">
        <v>52564</v>
      </c>
      <c r="F27" s="3">
        <v>48754</v>
      </c>
      <c r="G27" s="3">
        <v>46695</v>
      </c>
      <c r="H27" s="3">
        <v>48558</v>
      </c>
      <c r="I27" s="3">
        <v>50014</v>
      </c>
      <c r="J27" s="3">
        <v>51172</v>
      </c>
      <c r="K27" s="3">
        <v>52624</v>
      </c>
      <c r="L27" s="3">
        <v>53762</v>
      </c>
      <c r="M27" s="3">
        <v>55587</v>
      </c>
      <c r="N27" s="3">
        <v>56315</v>
      </c>
      <c r="O27" s="3">
        <v>57765</v>
      </c>
      <c r="P27" s="3">
        <v>58203</v>
      </c>
      <c r="Q27">
        <v>57.3</v>
      </c>
      <c r="R27">
        <v>57.86</v>
      </c>
      <c r="S27" s="3">
        <v>59142</v>
      </c>
      <c r="T27" s="3">
        <v>58799</v>
      </c>
      <c r="U27" s="3">
        <v>59043</v>
      </c>
    </row>
    <row r="28" spans="1:21" x14ac:dyDescent="0.3">
      <c r="A28" t="s">
        <v>19</v>
      </c>
      <c r="B28" t="s">
        <v>70</v>
      </c>
      <c r="C28" t="s">
        <v>49</v>
      </c>
      <c r="D28" s="3">
        <v>47684</v>
      </c>
      <c r="E28" s="3">
        <v>48587</v>
      </c>
      <c r="F28" s="3">
        <v>48228</v>
      </c>
      <c r="G28" s="3">
        <v>46474</v>
      </c>
      <c r="H28" s="3">
        <v>44747</v>
      </c>
      <c r="I28" s="3">
        <v>43394</v>
      </c>
      <c r="J28" s="3">
        <v>42304</v>
      </c>
      <c r="K28" s="3">
        <v>43462</v>
      </c>
      <c r="L28">
        <v>44.33</v>
      </c>
      <c r="M28" s="3">
        <v>44695</v>
      </c>
      <c r="N28" s="3">
        <v>45811</v>
      </c>
      <c r="O28" s="3">
        <v>46781</v>
      </c>
      <c r="P28" s="3">
        <v>47618</v>
      </c>
      <c r="Q28" s="3">
        <v>47293</v>
      </c>
      <c r="R28" s="3">
        <v>48306</v>
      </c>
      <c r="S28" s="3">
        <v>49224</v>
      </c>
      <c r="T28" s="3">
        <v>49505</v>
      </c>
      <c r="U28" s="3">
        <v>51178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5481-A2FE-4DC8-85A8-728FA4D9D161}">
  <dimension ref="A1:U28"/>
  <sheetViews>
    <sheetView workbookViewId="0">
      <selection activeCell="V20" sqref="V20"/>
    </sheetView>
  </sheetViews>
  <sheetFormatPr defaultRowHeight="14.4" x14ac:dyDescent="0.3"/>
  <sheetData>
    <row r="1" spans="1:21" x14ac:dyDescent="0.3">
      <c r="A1" t="s">
        <v>65</v>
      </c>
      <c r="B1" t="s">
        <v>43</v>
      </c>
      <c r="C1" t="s">
        <v>44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</row>
    <row r="2" spans="1:21" x14ac:dyDescent="0.3">
      <c r="A2" t="s">
        <v>39</v>
      </c>
      <c r="B2" t="s">
        <v>70</v>
      </c>
      <c r="C2" t="s">
        <v>49</v>
      </c>
      <c r="D2">
        <v>46.625999999999998</v>
      </c>
      <c r="E2">
        <v>47.054000000000002</v>
      </c>
      <c r="F2">
        <v>49.957000000000001</v>
      </c>
      <c r="G2">
        <v>50.557000000000002</v>
      </c>
      <c r="H2">
        <v>51.631</v>
      </c>
      <c r="I2">
        <v>53.067999999999998</v>
      </c>
      <c r="J2">
        <v>54.780999999999999</v>
      </c>
      <c r="K2">
        <v>56.222000000000001</v>
      </c>
      <c r="L2">
        <v>56.972000000000001</v>
      </c>
      <c r="M2">
        <v>58.436999999999998</v>
      </c>
      <c r="N2">
        <v>59.99</v>
      </c>
      <c r="O2">
        <v>61.831000000000003</v>
      </c>
      <c r="P2">
        <v>62.883000000000003</v>
      </c>
      <c r="Q2">
        <v>63.551000000000002</v>
      </c>
      <c r="R2">
        <v>65.584000000000003</v>
      </c>
      <c r="S2">
        <v>68.072000000000003</v>
      </c>
      <c r="T2">
        <v>69.265000000000001</v>
      </c>
      <c r="U2">
        <v>65.006</v>
      </c>
    </row>
    <row r="3" spans="1:21" x14ac:dyDescent="0.3">
      <c r="A3" t="s">
        <v>18</v>
      </c>
      <c r="B3" t="s">
        <v>70</v>
      </c>
      <c r="C3" t="s">
        <v>49</v>
      </c>
      <c r="D3">
        <v>63.307000000000002</v>
      </c>
      <c r="E3">
        <v>61.472000000000001</v>
      </c>
      <c r="F3">
        <v>56.006</v>
      </c>
      <c r="G3">
        <v>53.502000000000002</v>
      </c>
      <c r="H3">
        <v>52.448999999999998</v>
      </c>
      <c r="I3">
        <v>52.113999999999997</v>
      </c>
      <c r="J3">
        <v>53.453000000000003</v>
      </c>
      <c r="K3">
        <v>54.430999999999997</v>
      </c>
      <c r="L3">
        <v>55.691000000000003</v>
      </c>
      <c r="M3">
        <v>56.970999999999997</v>
      </c>
      <c r="N3">
        <v>57.817999999999998</v>
      </c>
      <c r="O3">
        <v>58.594000000000001</v>
      </c>
      <c r="P3">
        <v>59.253</v>
      </c>
      <c r="Q3">
        <v>57.683999999999997</v>
      </c>
      <c r="R3">
        <v>59.628999999999998</v>
      </c>
      <c r="S3">
        <v>61.792000000000002</v>
      </c>
      <c r="T3">
        <v>63.698999999999998</v>
      </c>
      <c r="U3">
        <v>62.991999999999997</v>
      </c>
    </row>
    <row r="4" spans="1:21" x14ac:dyDescent="0.3">
      <c r="A4" t="s">
        <v>30</v>
      </c>
      <c r="B4" t="s">
        <v>70</v>
      </c>
      <c r="C4" t="s">
        <v>49</v>
      </c>
      <c r="D4">
        <v>61.863</v>
      </c>
      <c r="E4">
        <v>61.86</v>
      </c>
      <c r="F4">
        <v>60.308</v>
      </c>
      <c r="G4">
        <v>60.246000000000002</v>
      </c>
      <c r="H4">
        <v>58.728999999999999</v>
      </c>
      <c r="I4">
        <v>55.945999999999998</v>
      </c>
      <c r="J4">
        <v>53.252000000000002</v>
      </c>
      <c r="K4">
        <v>53.493000000000002</v>
      </c>
      <c r="L4">
        <v>53.003999999999998</v>
      </c>
      <c r="M4">
        <v>53.326999999999998</v>
      </c>
      <c r="N4">
        <v>54.822000000000003</v>
      </c>
      <c r="O4">
        <v>57.173999999999999</v>
      </c>
      <c r="P4">
        <v>58.506999999999998</v>
      </c>
      <c r="Q4">
        <v>57.935000000000002</v>
      </c>
      <c r="R4">
        <v>59.034999999999997</v>
      </c>
      <c r="S4">
        <v>60.677999999999997</v>
      </c>
      <c r="T4">
        <v>61.716000000000001</v>
      </c>
      <c r="U4">
        <v>61.920999999999999</v>
      </c>
    </row>
    <row r="5" spans="1:21" x14ac:dyDescent="0.3">
      <c r="A5" t="s">
        <v>36</v>
      </c>
      <c r="B5" t="s">
        <v>70</v>
      </c>
      <c r="C5" t="s">
        <v>49</v>
      </c>
      <c r="D5">
        <v>57.773000000000003</v>
      </c>
      <c r="E5">
        <v>57.773000000000003</v>
      </c>
      <c r="F5">
        <v>52.493000000000002</v>
      </c>
      <c r="G5">
        <v>50.392000000000003</v>
      </c>
      <c r="H5">
        <v>53.747</v>
      </c>
      <c r="I5">
        <v>55.167000000000002</v>
      </c>
      <c r="J5">
        <v>56.033000000000001</v>
      </c>
      <c r="K5">
        <v>56.627000000000002</v>
      </c>
      <c r="L5">
        <v>58.139000000000003</v>
      </c>
      <c r="M5">
        <v>58.652999999999999</v>
      </c>
      <c r="N5">
        <v>59.889000000000003</v>
      </c>
      <c r="O5">
        <v>60.396999999999998</v>
      </c>
      <c r="P5">
        <v>60.706000000000003</v>
      </c>
      <c r="Q5">
        <v>59.097999999999999</v>
      </c>
      <c r="R5">
        <v>59.753</v>
      </c>
      <c r="S5">
        <v>61.987000000000002</v>
      </c>
      <c r="T5">
        <v>62.219000000000001</v>
      </c>
      <c r="U5">
        <v>61.953000000000003</v>
      </c>
    </row>
    <row r="6" spans="1:21" x14ac:dyDescent="0.3">
      <c r="A6" t="s">
        <v>33</v>
      </c>
      <c r="B6" t="s">
        <v>70</v>
      </c>
      <c r="C6" t="s">
        <v>49</v>
      </c>
      <c r="D6">
        <v>57.25</v>
      </c>
      <c r="E6">
        <v>57.344000000000001</v>
      </c>
      <c r="F6">
        <v>55.567999999999998</v>
      </c>
      <c r="G6">
        <v>54.631</v>
      </c>
      <c r="H6">
        <v>52.695</v>
      </c>
      <c r="I6">
        <v>50.723999999999997</v>
      </c>
      <c r="J6">
        <v>49.561999999999998</v>
      </c>
      <c r="K6">
        <v>50.548000000000002</v>
      </c>
      <c r="L6">
        <v>51.231000000000002</v>
      </c>
      <c r="M6">
        <v>51.895000000000003</v>
      </c>
      <c r="N6">
        <v>53.619</v>
      </c>
      <c r="O6">
        <v>54.819000000000003</v>
      </c>
      <c r="P6">
        <v>55.137999999999998</v>
      </c>
      <c r="Q6">
        <v>53.566000000000003</v>
      </c>
      <c r="R6">
        <v>52.947000000000003</v>
      </c>
      <c r="S6">
        <v>54.22</v>
      </c>
      <c r="T6">
        <v>54.872999999999998</v>
      </c>
      <c r="U6">
        <v>54.915999999999997</v>
      </c>
    </row>
    <row r="7" spans="1:21" x14ac:dyDescent="0.3">
      <c r="A7" t="s">
        <v>24</v>
      </c>
      <c r="B7" t="s">
        <v>70</v>
      </c>
      <c r="C7" t="s">
        <v>49</v>
      </c>
      <c r="D7">
        <v>55.646999999999998</v>
      </c>
      <c r="E7">
        <v>55.933</v>
      </c>
      <c r="F7">
        <v>54.768000000000001</v>
      </c>
      <c r="G7">
        <v>54.188000000000002</v>
      </c>
      <c r="H7">
        <v>54.350999999999999</v>
      </c>
      <c r="I7">
        <v>54.548000000000002</v>
      </c>
      <c r="J7">
        <v>55.154000000000003</v>
      </c>
      <c r="K7">
        <v>55.686999999999998</v>
      </c>
      <c r="L7">
        <v>56.424999999999997</v>
      </c>
      <c r="M7">
        <v>57.551000000000002</v>
      </c>
      <c r="N7">
        <v>58.478000000000002</v>
      </c>
      <c r="O7">
        <v>59.203000000000003</v>
      </c>
      <c r="P7">
        <v>59.164000000000001</v>
      </c>
      <c r="Q7">
        <v>58.268000000000001</v>
      </c>
      <c r="R7">
        <v>58.152999999999999</v>
      </c>
      <c r="S7">
        <v>58.529000000000003</v>
      </c>
      <c r="T7">
        <v>58.404000000000003</v>
      </c>
      <c r="U7">
        <v>59.030999999999999</v>
      </c>
    </row>
    <row r="8" spans="1:21" x14ac:dyDescent="0.3">
      <c r="A8" t="s">
        <v>37</v>
      </c>
      <c r="B8" t="s">
        <v>70</v>
      </c>
      <c r="C8" t="s">
        <v>49</v>
      </c>
      <c r="D8">
        <v>45.79</v>
      </c>
      <c r="E8">
        <v>45.8</v>
      </c>
      <c r="F8">
        <v>44.72</v>
      </c>
      <c r="G8">
        <v>44.173000000000002</v>
      </c>
      <c r="H8">
        <v>44.118000000000002</v>
      </c>
      <c r="I8">
        <v>43.851999999999997</v>
      </c>
      <c r="J8">
        <v>42.865000000000002</v>
      </c>
      <c r="K8">
        <v>42.835999999999999</v>
      </c>
      <c r="L8">
        <v>43.142000000000003</v>
      </c>
      <c r="M8">
        <v>43.715000000000003</v>
      </c>
      <c r="N8">
        <v>44.228000000000002</v>
      </c>
      <c r="O8">
        <v>44.572000000000003</v>
      </c>
      <c r="P8">
        <v>44.895000000000003</v>
      </c>
      <c r="Q8">
        <v>43.94</v>
      </c>
      <c r="R8">
        <v>43.96</v>
      </c>
      <c r="S8">
        <v>45.137999999999998</v>
      </c>
      <c r="T8">
        <v>46.067999999999998</v>
      </c>
      <c r="U8">
        <v>46.598999999999997</v>
      </c>
    </row>
    <row r="9" spans="1:21" x14ac:dyDescent="0.3">
      <c r="A9" t="s">
        <v>28</v>
      </c>
      <c r="B9" t="s">
        <v>70</v>
      </c>
      <c r="C9" t="s">
        <v>49</v>
      </c>
      <c r="D9">
        <v>46.597000000000001</v>
      </c>
      <c r="E9">
        <v>46.006999999999998</v>
      </c>
      <c r="F9">
        <v>44.854999999999997</v>
      </c>
      <c r="G9">
        <v>44.719000000000001</v>
      </c>
      <c r="H9">
        <v>45.088000000000001</v>
      </c>
      <c r="I9">
        <v>45.975999999999999</v>
      </c>
      <c r="J9">
        <v>46.87</v>
      </c>
      <c r="K9">
        <v>49.533999999999999</v>
      </c>
      <c r="L9">
        <v>51.026000000000003</v>
      </c>
      <c r="M9">
        <v>52.847000000000001</v>
      </c>
      <c r="N9">
        <v>53.935000000000002</v>
      </c>
      <c r="O9">
        <v>54.887999999999998</v>
      </c>
      <c r="P9">
        <v>55.414000000000001</v>
      </c>
      <c r="Q9">
        <v>54.726999999999997</v>
      </c>
      <c r="R9">
        <v>57.341000000000001</v>
      </c>
      <c r="S9">
        <v>58.295000000000002</v>
      </c>
      <c r="T9">
        <v>58.72</v>
      </c>
      <c r="U9">
        <v>58.832999999999998</v>
      </c>
    </row>
    <row r="10" spans="1:21" x14ac:dyDescent="0.3">
      <c r="A10" t="s">
        <v>34</v>
      </c>
      <c r="B10" t="s">
        <v>70</v>
      </c>
      <c r="C10" t="s">
        <v>49</v>
      </c>
      <c r="D10">
        <v>53.755000000000003</v>
      </c>
      <c r="E10">
        <v>52.69</v>
      </c>
      <c r="F10">
        <v>48.878999999999998</v>
      </c>
      <c r="G10">
        <v>47.784999999999997</v>
      </c>
      <c r="H10">
        <v>46.91</v>
      </c>
      <c r="I10">
        <v>44.924999999999997</v>
      </c>
      <c r="J10">
        <v>43.883000000000003</v>
      </c>
      <c r="K10">
        <v>44.55</v>
      </c>
      <c r="L10">
        <v>45.853000000000002</v>
      </c>
      <c r="M10">
        <v>47.031999999999996</v>
      </c>
      <c r="N10">
        <v>48.106999999999999</v>
      </c>
      <c r="O10">
        <v>49.088000000000001</v>
      </c>
      <c r="P10">
        <v>49.750999999999998</v>
      </c>
      <c r="Q10">
        <v>47.91</v>
      </c>
      <c r="R10">
        <v>49.05</v>
      </c>
      <c r="S10">
        <v>50.252000000000002</v>
      </c>
      <c r="T10">
        <v>50.991999999999997</v>
      </c>
      <c r="U10">
        <v>51.438000000000002</v>
      </c>
    </row>
    <row r="11" spans="1:21" x14ac:dyDescent="0.3">
      <c r="A11" t="s">
        <v>27</v>
      </c>
      <c r="B11" t="s">
        <v>70</v>
      </c>
      <c r="C11" t="s">
        <v>49</v>
      </c>
      <c r="D11">
        <v>56.893000000000001</v>
      </c>
      <c r="E11">
        <v>57.558</v>
      </c>
      <c r="F11">
        <v>57.106999999999999</v>
      </c>
      <c r="G11">
        <v>57.343000000000004</v>
      </c>
      <c r="H11">
        <v>57.558</v>
      </c>
      <c r="I11">
        <v>57.67</v>
      </c>
      <c r="J11">
        <v>57.537999999999997</v>
      </c>
      <c r="K11">
        <v>57.16</v>
      </c>
      <c r="L11">
        <v>57.115000000000002</v>
      </c>
      <c r="M11">
        <v>57.427</v>
      </c>
      <c r="N11">
        <v>57.703000000000003</v>
      </c>
      <c r="O11">
        <v>58.298000000000002</v>
      </c>
      <c r="P11">
        <v>58.514000000000003</v>
      </c>
      <c r="Q11">
        <v>57.651000000000003</v>
      </c>
      <c r="R11">
        <v>57.201999999999998</v>
      </c>
      <c r="S11">
        <v>58.441000000000003</v>
      </c>
      <c r="T11">
        <v>58.363999999999997</v>
      </c>
      <c r="U11">
        <v>58.314</v>
      </c>
    </row>
    <row r="12" spans="1:21" x14ac:dyDescent="0.3">
      <c r="A12" t="s">
        <v>17</v>
      </c>
      <c r="B12" t="s">
        <v>70</v>
      </c>
      <c r="C12" t="s">
        <v>49</v>
      </c>
      <c r="D12">
        <v>56.817999999999998</v>
      </c>
      <c r="E12">
        <v>56.887999999999998</v>
      </c>
      <c r="F12">
        <v>55.95</v>
      </c>
      <c r="G12">
        <v>54.889000000000003</v>
      </c>
      <c r="H12">
        <v>53.192999999999998</v>
      </c>
      <c r="I12">
        <v>52.448999999999998</v>
      </c>
      <c r="J12">
        <v>51.460999999999999</v>
      </c>
      <c r="K12">
        <v>52.095999999999997</v>
      </c>
      <c r="L12">
        <v>52.179000000000002</v>
      </c>
      <c r="M12">
        <v>52.067999999999998</v>
      </c>
      <c r="N12">
        <v>54.59</v>
      </c>
      <c r="O12">
        <v>55.805</v>
      </c>
      <c r="P12">
        <v>55.484999999999999</v>
      </c>
      <c r="Q12">
        <v>54.890999999999998</v>
      </c>
      <c r="R12">
        <v>55.704000000000001</v>
      </c>
      <c r="S12">
        <v>56.579000000000001</v>
      </c>
      <c r="T12">
        <v>56.387</v>
      </c>
      <c r="U12">
        <v>56.563000000000002</v>
      </c>
    </row>
    <row r="13" spans="1:21" x14ac:dyDescent="0.3">
      <c r="A13" t="s">
        <v>25</v>
      </c>
      <c r="B13" t="s">
        <v>70</v>
      </c>
      <c r="C13" t="s">
        <v>49</v>
      </c>
      <c r="D13">
        <v>51.256999999999998</v>
      </c>
      <c r="E13">
        <v>51.353999999999999</v>
      </c>
      <c r="F13">
        <v>50.706000000000003</v>
      </c>
      <c r="G13">
        <v>51.051000000000002</v>
      </c>
      <c r="H13">
        <v>50.226999999999997</v>
      </c>
      <c r="I13">
        <v>50.902999999999999</v>
      </c>
      <c r="J13">
        <v>50.662999999999997</v>
      </c>
      <c r="K13">
        <v>51.137999999999998</v>
      </c>
      <c r="L13">
        <v>50.828000000000003</v>
      </c>
      <c r="M13">
        <v>50.552</v>
      </c>
      <c r="N13">
        <v>52.231999999999999</v>
      </c>
      <c r="O13">
        <v>52.674999999999997</v>
      </c>
      <c r="P13">
        <v>52.982999999999997</v>
      </c>
      <c r="Q13">
        <v>52.29</v>
      </c>
      <c r="R13">
        <v>48.213999999999999</v>
      </c>
      <c r="S13">
        <v>48.920999999999999</v>
      </c>
      <c r="T13">
        <v>48.594999999999999</v>
      </c>
      <c r="U13">
        <v>49.21</v>
      </c>
    </row>
    <row r="14" spans="1:21" x14ac:dyDescent="0.3">
      <c r="A14" t="s">
        <v>41</v>
      </c>
      <c r="B14" t="s">
        <v>70</v>
      </c>
      <c r="C14" t="s">
        <v>49</v>
      </c>
      <c r="D14">
        <v>54.01</v>
      </c>
      <c r="E14">
        <v>54.911999999999999</v>
      </c>
      <c r="F14">
        <v>54.951000000000001</v>
      </c>
      <c r="G14">
        <v>55.149000000000001</v>
      </c>
      <c r="H14">
        <v>56.551000000000002</v>
      </c>
      <c r="I14">
        <v>56.847999999999999</v>
      </c>
      <c r="J14">
        <v>57.158999999999999</v>
      </c>
      <c r="K14">
        <v>57.426000000000002</v>
      </c>
      <c r="L14">
        <v>57.438000000000002</v>
      </c>
      <c r="M14">
        <v>58.523000000000003</v>
      </c>
      <c r="N14">
        <v>58.926000000000002</v>
      </c>
      <c r="O14">
        <v>59.19</v>
      </c>
      <c r="P14">
        <v>60.006</v>
      </c>
      <c r="Q14">
        <v>58.207000000000001</v>
      </c>
      <c r="R14">
        <v>58.411000000000001</v>
      </c>
      <c r="S14">
        <v>59.085999999999999</v>
      </c>
      <c r="T14">
        <v>59.625</v>
      </c>
      <c r="U14">
        <v>59.576999999999998</v>
      </c>
    </row>
    <row r="15" spans="1:21" x14ac:dyDescent="0.3">
      <c r="A15" t="s">
        <v>42</v>
      </c>
      <c r="B15" t="s">
        <v>70</v>
      </c>
      <c r="C15" t="s">
        <v>49</v>
      </c>
      <c r="D15">
        <v>52.293999999999997</v>
      </c>
      <c r="E15">
        <v>53.673000000000002</v>
      </c>
      <c r="F15">
        <v>51.798999999999999</v>
      </c>
      <c r="G15">
        <v>50.521999999999998</v>
      </c>
      <c r="H15">
        <v>50.771999999999998</v>
      </c>
      <c r="I15">
        <v>50.945</v>
      </c>
      <c r="J15">
        <v>50.860999999999997</v>
      </c>
      <c r="K15">
        <v>52.817</v>
      </c>
      <c r="L15">
        <v>52.816000000000003</v>
      </c>
      <c r="M15">
        <v>54.261000000000003</v>
      </c>
      <c r="N15">
        <v>55.085999999999999</v>
      </c>
      <c r="O15">
        <v>55.9</v>
      </c>
      <c r="P15">
        <v>56.256</v>
      </c>
      <c r="Q15">
        <v>55.069000000000003</v>
      </c>
      <c r="R15">
        <v>56.347000000000001</v>
      </c>
      <c r="S15">
        <v>57.755000000000003</v>
      </c>
      <c r="T15">
        <v>58.000999999999998</v>
      </c>
      <c r="U15">
        <v>58.207999999999998</v>
      </c>
    </row>
    <row r="16" spans="1:21" x14ac:dyDescent="0.3">
      <c r="A16" t="s">
        <v>22</v>
      </c>
      <c r="B16" t="s">
        <v>70</v>
      </c>
      <c r="C16" t="s">
        <v>49</v>
      </c>
      <c r="D16">
        <v>61.856000000000002</v>
      </c>
      <c r="E16">
        <v>62.86</v>
      </c>
      <c r="F16">
        <v>62.537999999999997</v>
      </c>
      <c r="G16">
        <v>61.584000000000003</v>
      </c>
      <c r="H16">
        <v>61.332000000000001</v>
      </c>
      <c r="I16">
        <v>61.222999999999999</v>
      </c>
      <c r="J16">
        <v>60.259</v>
      </c>
      <c r="K16">
        <v>59.585999999999999</v>
      </c>
      <c r="L16">
        <v>59.960999999999999</v>
      </c>
      <c r="M16">
        <v>60.228000000000002</v>
      </c>
      <c r="N16">
        <v>60.938000000000002</v>
      </c>
      <c r="O16">
        <v>61.798000000000002</v>
      </c>
      <c r="P16">
        <v>62.607999999999997</v>
      </c>
      <c r="Q16">
        <v>62.061999999999998</v>
      </c>
      <c r="R16">
        <v>64.168000000000006</v>
      </c>
      <c r="S16">
        <v>65.504999999999995</v>
      </c>
      <c r="T16">
        <v>66.153999999999996</v>
      </c>
      <c r="U16">
        <v>66.152000000000001</v>
      </c>
    </row>
    <row r="17" spans="1:21" x14ac:dyDescent="0.3">
      <c r="A17" t="s">
        <v>31</v>
      </c>
      <c r="B17" t="s">
        <v>70</v>
      </c>
      <c r="C17" t="s">
        <v>49</v>
      </c>
      <c r="D17">
        <v>63.215000000000003</v>
      </c>
      <c r="E17">
        <v>62.688000000000002</v>
      </c>
      <c r="F17">
        <v>60.267000000000003</v>
      </c>
      <c r="G17">
        <v>58.578000000000003</v>
      </c>
      <c r="H17">
        <v>58.15</v>
      </c>
      <c r="I17">
        <v>57.453000000000003</v>
      </c>
      <c r="J17">
        <v>56.884</v>
      </c>
      <c r="K17">
        <v>57.015999999999998</v>
      </c>
      <c r="L17">
        <v>57.466999999999999</v>
      </c>
      <c r="M17">
        <v>57.959000000000003</v>
      </c>
      <c r="N17">
        <v>58.116</v>
      </c>
      <c r="O17">
        <v>58.643999999999998</v>
      </c>
      <c r="P17">
        <v>59.244999999999997</v>
      </c>
      <c r="Q17">
        <v>58.536000000000001</v>
      </c>
      <c r="R17">
        <v>59.366</v>
      </c>
      <c r="S17">
        <v>60.561</v>
      </c>
      <c r="T17">
        <v>60.408000000000001</v>
      </c>
      <c r="U17">
        <v>61.212000000000003</v>
      </c>
    </row>
    <row r="18" spans="1:21" x14ac:dyDescent="0.3">
      <c r="A18" t="s">
        <v>32</v>
      </c>
      <c r="B18" t="s">
        <v>70</v>
      </c>
      <c r="C18" t="s">
        <v>49</v>
      </c>
      <c r="D18">
        <v>47.984999999999999</v>
      </c>
      <c r="E18">
        <v>48.435000000000002</v>
      </c>
      <c r="F18">
        <v>47.826999999999998</v>
      </c>
      <c r="G18">
        <v>46.261000000000003</v>
      </c>
      <c r="H18">
        <v>42.841999999999999</v>
      </c>
      <c r="I18">
        <v>39.113</v>
      </c>
      <c r="J18">
        <v>37.398000000000003</v>
      </c>
      <c r="K18">
        <v>37.765000000000001</v>
      </c>
      <c r="L18">
        <v>38.725999999999999</v>
      </c>
      <c r="M18">
        <v>39.515999999999998</v>
      </c>
      <c r="N18">
        <v>40.555999999999997</v>
      </c>
      <c r="O18">
        <v>41.581000000000003</v>
      </c>
      <c r="P18">
        <v>42.656999999999996</v>
      </c>
      <c r="Q18">
        <v>42.462000000000003</v>
      </c>
      <c r="R18">
        <v>43.33</v>
      </c>
      <c r="S18">
        <v>45.753999999999998</v>
      </c>
      <c r="T18">
        <v>46.402999999999999</v>
      </c>
      <c r="U18">
        <v>47.421999999999997</v>
      </c>
    </row>
    <row r="19" spans="1:21" x14ac:dyDescent="0.3">
      <c r="A19" t="s">
        <v>38</v>
      </c>
      <c r="B19" t="s">
        <v>70</v>
      </c>
      <c r="C19" t="s">
        <v>49</v>
      </c>
      <c r="D19">
        <v>56.609000000000002</v>
      </c>
      <c r="E19">
        <v>56.781999999999996</v>
      </c>
      <c r="F19">
        <v>49.597999999999999</v>
      </c>
      <c r="G19">
        <v>47.411999999999999</v>
      </c>
      <c r="H19">
        <v>49.039000000000001</v>
      </c>
      <c r="I19">
        <v>50.74</v>
      </c>
      <c r="J19">
        <v>52.381</v>
      </c>
      <c r="K19">
        <v>52.844000000000001</v>
      </c>
      <c r="L19">
        <v>54.134999999999998</v>
      </c>
      <c r="M19">
        <v>54.591999999999999</v>
      </c>
      <c r="N19">
        <v>55.53</v>
      </c>
      <c r="O19">
        <v>56.886000000000003</v>
      </c>
      <c r="P19">
        <v>57.363</v>
      </c>
      <c r="Q19">
        <v>56.68</v>
      </c>
      <c r="R19">
        <v>55.664000000000001</v>
      </c>
      <c r="S19">
        <v>56.972999999999999</v>
      </c>
      <c r="T19">
        <v>57.22</v>
      </c>
      <c r="U19">
        <v>56.920999999999999</v>
      </c>
    </row>
    <row r="20" spans="1:21" x14ac:dyDescent="0.3">
      <c r="A20" t="s">
        <v>20</v>
      </c>
      <c r="B20" t="s">
        <v>70</v>
      </c>
      <c r="C20" t="s">
        <v>49</v>
      </c>
      <c r="D20">
        <v>59.762999999999998</v>
      </c>
      <c r="E20">
        <v>59.948999999999998</v>
      </c>
      <c r="F20">
        <v>58.023000000000003</v>
      </c>
      <c r="G20">
        <v>64.460999999999999</v>
      </c>
      <c r="H20">
        <v>65.400000000000006</v>
      </c>
      <c r="I20">
        <v>65.459999999999994</v>
      </c>
      <c r="J20">
        <v>65.744</v>
      </c>
      <c r="K20">
        <v>66.231999999999999</v>
      </c>
      <c r="L20">
        <v>66.650000000000006</v>
      </c>
      <c r="M20">
        <v>67.054000000000002</v>
      </c>
      <c r="N20">
        <v>67.837999999999994</v>
      </c>
      <c r="O20">
        <v>68.33</v>
      </c>
      <c r="P20">
        <v>68.343999999999994</v>
      </c>
      <c r="Q20">
        <v>67.212000000000003</v>
      </c>
      <c r="R20">
        <v>60.698999999999998</v>
      </c>
      <c r="S20">
        <v>61.966999999999999</v>
      </c>
      <c r="T20">
        <v>62.389000000000003</v>
      </c>
      <c r="U20">
        <v>61.695999999999998</v>
      </c>
    </row>
    <row r="21" spans="1:21" x14ac:dyDescent="0.3">
      <c r="A21" t="s">
        <v>29</v>
      </c>
      <c r="B21" t="s">
        <v>70</v>
      </c>
      <c r="C21" t="s">
        <v>49</v>
      </c>
      <c r="D21">
        <v>48.838999999999999</v>
      </c>
      <c r="E21">
        <v>50.688000000000002</v>
      </c>
      <c r="F21">
        <v>50.695999999999998</v>
      </c>
      <c r="G21">
        <v>50.334000000000003</v>
      </c>
      <c r="H21">
        <v>50.54</v>
      </c>
      <c r="I21">
        <v>50.564</v>
      </c>
      <c r="J21">
        <v>50.343000000000004</v>
      </c>
      <c r="K21">
        <v>51.307000000000002</v>
      </c>
      <c r="L21">
        <v>52.177</v>
      </c>
      <c r="M21">
        <v>53.015000000000001</v>
      </c>
      <c r="N21">
        <v>53.933999999999997</v>
      </c>
      <c r="O21">
        <v>54.412999999999997</v>
      </c>
      <c r="P21">
        <v>54.604999999999997</v>
      </c>
      <c r="Q21">
        <v>54.579000000000001</v>
      </c>
      <c r="R21">
        <v>56.235999999999997</v>
      </c>
      <c r="S21">
        <v>56.723999999999997</v>
      </c>
      <c r="T21">
        <v>57.228000000000002</v>
      </c>
      <c r="U21">
        <v>57.11</v>
      </c>
    </row>
    <row r="22" spans="1:21" x14ac:dyDescent="0.3">
      <c r="A22" t="s">
        <v>23</v>
      </c>
      <c r="B22" t="s">
        <v>70</v>
      </c>
      <c r="C22" t="s">
        <v>49</v>
      </c>
      <c r="D22">
        <v>57.008000000000003</v>
      </c>
      <c r="E22">
        <v>57.563000000000002</v>
      </c>
      <c r="F22">
        <v>55.500999999999998</v>
      </c>
      <c r="G22">
        <v>54.896999999999998</v>
      </c>
      <c r="H22">
        <v>55.262</v>
      </c>
      <c r="I22">
        <v>55.134999999999998</v>
      </c>
      <c r="J22">
        <v>54.295999999999999</v>
      </c>
      <c r="K22">
        <v>53.801000000000002</v>
      </c>
      <c r="L22">
        <v>53.43</v>
      </c>
      <c r="M22">
        <v>53.439</v>
      </c>
      <c r="N22">
        <v>53.77</v>
      </c>
      <c r="O22">
        <v>55.051000000000002</v>
      </c>
      <c r="P22">
        <v>55.375999999999998</v>
      </c>
      <c r="Q22">
        <v>54.41</v>
      </c>
      <c r="R22">
        <v>55.811</v>
      </c>
      <c r="S22">
        <v>57.021000000000001</v>
      </c>
      <c r="T22">
        <v>56.735999999999997</v>
      </c>
      <c r="U22">
        <v>55.612000000000002</v>
      </c>
    </row>
    <row r="23" spans="1:21" x14ac:dyDescent="0.3">
      <c r="A23" t="s">
        <v>40</v>
      </c>
      <c r="B23" t="s">
        <v>70</v>
      </c>
      <c r="C23" t="s">
        <v>49</v>
      </c>
      <c r="D23">
        <v>48.978999999999999</v>
      </c>
      <c r="E23">
        <v>50.79</v>
      </c>
      <c r="F23">
        <v>49.406999999999996</v>
      </c>
      <c r="G23">
        <v>47.905000000000001</v>
      </c>
      <c r="H23">
        <v>46.598999999999997</v>
      </c>
      <c r="I23">
        <v>46.566000000000003</v>
      </c>
      <c r="J23">
        <v>46.924999999999997</v>
      </c>
      <c r="K23">
        <v>47.957999999999998</v>
      </c>
      <c r="L23">
        <v>49.124000000000002</v>
      </c>
      <c r="M23">
        <v>49.292000000000002</v>
      </c>
      <c r="N23">
        <v>51.942</v>
      </c>
      <c r="O23">
        <v>52.44</v>
      </c>
      <c r="P23">
        <v>53.651000000000003</v>
      </c>
      <c r="Q23">
        <v>52.274000000000001</v>
      </c>
      <c r="R23">
        <v>51.658000000000001</v>
      </c>
      <c r="S23">
        <v>53.154000000000003</v>
      </c>
      <c r="T23">
        <v>53.250999999999998</v>
      </c>
      <c r="U23">
        <v>53.226999999999997</v>
      </c>
    </row>
    <row r="24" spans="1:21" x14ac:dyDescent="0.3">
      <c r="A24" t="s">
        <v>35</v>
      </c>
      <c r="B24" t="s">
        <v>70</v>
      </c>
      <c r="C24" t="s">
        <v>49</v>
      </c>
      <c r="D24">
        <v>49.588999999999999</v>
      </c>
      <c r="E24">
        <v>49.933999999999997</v>
      </c>
      <c r="F24">
        <v>49.244</v>
      </c>
      <c r="G24">
        <v>49.585999999999999</v>
      </c>
      <c r="H24">
        <v>49.4</v>
      </c>
      <c r="I24">
        <v>49.232999999999997</v>
      </c>
      <c r="J24">
        <v>49.046999999999997</v>
      </c>
      <c r="K24">
        <v>48.945999999999998</v>
      </c>
      <c r="L24">
        <v>48.787999999999997</v>
      </c>
      <c r="M24">
        <v>48.951999999999998</v>
      </c>
      <c r="N24">
        <v>50.021000000000001</v>
      </c>
      <c r="O24">
        <v>50.965000000000003</v>
      </c>
      <c r="P24">
        <v>51.475000000000001</v>
      </c>
      <c r="Q24">
        <v>50.83</v>
      </c>
      <c r="R24">
        <v>51.079000000000001</v>
      </c>
      <c r="S24">
        <v>52.026000000000003</v>
      </c>
      <c r="T24">
        <v>51.945999999999998</v>
      </c>
      <c r="U24">
        <v>51.972000000000001</v>
      </c>
    </row>
    <row r="25" spans="1:21" x14ac:dyDescent="0.3">
      <c r="A25" t="s">
        <v>14</v>
      </c>
      <c r="B25" t="s">
        <v>70</v>
      </c>
      <c r="C25" t="s">
        <v>49</v>
      </c>
      <c r="D25">
        <v>51.497999999999998</v>
      </c>
      <c r="E25">
        <v>51.927999999999997</v>
      </c>
      <c r="F25">
        <v>51.192999999999998</v>
      </c>
      <c r="G25">
        <v>51.030999999999999</v>
      </c>
      <c r="H25">
        <v>50.859000000000002</v>
      </c>
      <c r="I25">
        <v>50.726999999999997</v>
      </c>
      <c r="J25">
        <v>50.838000000000001</v>
      </c>
      <c r="K25">
        <v>50.335999999999999</v>
      </c>
      <c r="L25">
        <v>50.256</v>
      </c>
      <c r="M25">
        <v>50.308</v>
      </c>
      <c r="N25">
        <v>50.402999999999999</v>
      </c>
      <c r="O25">
        <v>50.607999999999997</v>
      </c>
      <c r="P25">
        <v>50.621000000000002</v>
      </c>
      <c r="Q25">
        <v>50.167000000000002</v>
      </c>
      <c r="R25">
        <v>51.536000000000001</v>
      </c>
      <c r="S25">
        <v>52.115000000000002</v>
      </c>
      <c r="T25">
        <v>52.186</v>
      </c>
      <c r="U25">
        <v>52.421999999999997</v>
      </c>
    </row>
    <row r="26" spans="1:21" x14ac:dyDescent="0.3">
      <c r="A26" t="s">
        <v>26</v>
      </c>
      <c r="B26" t="s">
        <v>70</v>
      </c>
      <c r="C26" t="s">
        <v>49</v>
      </c>
      <c r="D26">
        <v>53.656999999999996</v>
      </c>
      <c r="E26">
        <v>53.177</v>
      </c>
      <c r="F26">
        <v>55.058</v>
      </c>
      <c r="G26">
        <v>55.110999999999997</v>
      </c>
      <c r="H26">
        <v>54.585999999999999</v>
      </c>
      <c r="I26">
        <v>55.823</v>
      </c>
      <c r="J26">
        <v>55.728000000000002</v>
      </c>
      <c r="K26">
        <v>56.176000000000002</v>
      </c>
      <c r="L26">
        <v>56.429000000000002</v>
      </c>
      <c r="M26">
        <v>55.866999999999997</v>
      </c>
      <c r="N26">
        <v>56.021999999999998</v>
      </c>
      <c r="O26">
        <v>56.542000000000002</v>
      </c>
      <c r="P26">
        <v>57.249000000000002</v>
      </c>
      <c r="Q26">
        <v>56.677</v>
      </c>
      <c r="R26">
        <v>58.744999999999997</v>
      </c>
      <c r="S26">
        <v>58.731999999999999</v>
      </c>
      <c r="T26">
        <v>59.017000000000003</v>
      </c>
      <c r="U26">
        <v>58.334000000000003</v>
      </c>
    </row>
    <row r="27" spans="1:21" x14ac:dyDescent="0.3">
      <c r="A27" t="s">
        <v>21</v>
      </c>
      <c r="B27" t="s">
        <v>70</v>
      </c>
      <c r="C27" t="s">
        <v>49</v>
      </c>
      <c r="D27">
        <v>53.183999999999997</v>
      </c>
      <c r="E27">
        <v>52.564</v>
      </c>
      <c r="F27">
        <v>48.753999999999998</v>
      </c>
      <c r="G27">
        <v>46.695</v>
      </c>
      <c r="H27">
        <v>48.558</v>
      </c>
      <c r="I27">
        <v>50.014000000000003</v>
      </c>
      <c r="J27">
        <v>51.171999999999997</v>
      </c>
      <c r="K27">
        <v>52.624000000000002</v>
      </c>
      <c r="L27">
        <v>53.762</v>
      </c>
      <c r="M27">
        <v>55.587000000000003</v>
      </c>
      <c r="N27">
        <v>56.314999999999998</v>
      </c>
      <c r="O27">
        <v>57.765000000000001</v>
      </c>
      <c r="P27">
        <v>58.203000000000003</v>
      </c>
      <c r="Q27">
        <v>57.3</v>
      </c>
      <c r="R27">
        <v>57.86</v>
      </c>
      <c r="S27">
        <v>59.142000000000003</v>
      </c>
      <c r="T27">
        <v>58.798999999999999</v>
      </c>
      <c r="U27">
        <v>59.042999999999999</v>
      </c>
    </row>
    <row r="28" spans="1:21" x14ac:dyDescent="0.3">
      <c r="A28" t="s">
        <v>19</v>
      </c>
      <c r="B28" t="s">
        <v>70</v>
      </c>
      <c r="C28" t="s">
        <v>49</v>
      </c>
      <c r="D28">
        <v>47.683999999999997</v>
      </c>
      <c r="E28">
        <v>48.587000000000003</v>
      </c>
      <c r="F28">
        <v>48.228000000000002</v>
      </c>
      <c r="G28">
        <v>46.473999999999997</v>
      </c>
      <c r="H28">
        <v>44.747</v>
      </c>
      <c r="I28">
        <v>43.393999999999998</v>
      </c>
      <c r="J28">
        <v>42.304000000000002</v>
      </c>
      <c r="K28">
        <v>43.462000000000003</v>
      </c>
      <c r="L28">
        <v>44.33</v>
      </c>
      <c r="M28">
        <v>44.695</v>
      </c>
      <c r="N28">
        <v>45.811</v>
      </c>
      <c r="O28">
        <v>46.780999999999999</v>
      </c>
      <c r="P28">
        <v>47.618000000000002</v>
      </c>
      <c r="Q28">
        <v>47.292999999999999</v>
      </c>
      <c r="R28">
        <v>48.305999999999997</v>
      </c>
      <c r="S28">
        <v>49.223999999999997</v>
      </c>
      <c r="T28">
        <v>49.505000000000003</v>
      </c>
      <c r="U28">
        <v>51.177999999999997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061C-59F0-4922-AAD6-3BACACB0F4A2}">
  <dimension ref="A1:S28"/>
  <sheetViews>
    <sheetView workbookViewId="0">
      <selection activeCell="U14" sqref="U14"/>
    </sheetView>
  </sheetViews>
  <sheetFormatPr defaultRowHeight="14.4" x14ac:dyDescent="0.3"/>
  <cols>
    <col min="4" max="4" width="5.5546875" bestFit="1" customWidth="1"/>
  </cols>
  <sheetData>
    <row r="1" spans="1:19" x14ac:dyDescent="0.3">
      <c r="A1" t="s">
        <v>13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14</v>
      </c>
      <c r="B2" t="s">
        <v>15</v>
      </c>
      <c r="C2" t="s">
        <v>16</v>
      </c>
      <c r="D2" s="2">
        <v>25.2273</v>
      </c>
      <c r="E2" s="2">
        <v>28.400700000000001</v>
      </c>
      <c r="F2" s="2">
        <v>31.457999999999998</v>
      </c>
      <c r="G2" s="2">
        <v>33.645400000000002</v>
      </c>
      <c r="H2" s="2">
        <v>35.693800000000003</v>
      </c>
      <c r="I2" s="2">
        <v>37.434600000000003</v>
      </c>
      <c r="J2" s="2">
        <v>38.734099999999998</v>
      </c>
      <c r="K2" s="2">
        <v>40.142200000000003</v>
      </c>
      <c r="L2" s="2">
        <v>41.387099999999997</v>
      </c>
      <c r="M2" s="2">
        <v>42.527799999999999</v>
      </c>
      <c r="N2" s="2">
        <v>43.624299999999998</v>
      </c>
      <c r="O2" s="2">
        <v>44.414200000000001</v>
      </c>
      <c r="P2" s="2">
        <v>45.276499999999999</v>
      </c>
      <c r="Q2" s="2">
        <v>46.471200000000003</v>
      </c>
      <c r="R2" s="2">
        <v>47.644199999999998</v>
      </c>
      <c r="S2" s="2">
        <v>48.2502</v>
      </c>
    </row>
    <row r="3" spans="1:19" x14ac:dyDescent="0.3">
      <c r="A3" t="s">
        <v>17</v>
      </c>
      <c r="B3" t="s">
        <v>15</v>
      </c>
      <c r="C3" t="s">
        <v>16</v>
      </c>
      <c r="D3" s="2">
        <v>17.1127</v>
      </c>
      <c r="E3" s="2">
        <v>21.001300000000001</v>
      </c>
      <c r="F3" s="2">
        <v>22.058800000000002</v>
      </c>
      <c r="G3" s="2">
        <v>23.013000000000002</v>
      </c>
      <c r="H3" s="2">
        <v>24.129799999999999</v>
      </c>
      <c r="I3" s="2">
        <v>24.805499999999999</v>
      </c>
      <c r="J3" s="2">
        <v>25.511099999999999</v>
      </c>
      <c r="K3" s="2">
        <v>27.002300000000002</v>
      </c>
      <c r="L3" s="2">
        <v>27.6233</v>
      </c>
      <c r="M3" s="2">
        <v>28.588899999999999</v>
      </c>
      <c r="N3" s="2">
        <v>29.180399999999999</v>
      </c>
      <c r="O3" s="2">
        <v>29.608599999999999</v>
      </c>
      <c r="P3" s="2">
        <v>30.139500000000002</v>
      </c>
      <c r="Q3" s="2">
        <v>30.992999999999999</v>
      </c>
      <c r="R3" s="2">
        <v>31.5503</v>
      </c>
      <c r="S3" s="2">
        <v>32.0105</v>
      </c>
    </row>
    <row r="4" spans="1:19" x14ac:dyDescent="0.3">
      <c r="A4" t="s">
        <v>18</v>
      </c>
      <c r="B4" t="s">
        <v>15</v>
      </c>
      <c r="C4" t="s">
        <v>16</v>
      </c>
      <c r="D4" s="2">
        <v>17.269100000000002</v>
      </c>
      <c r="E4" s="2">
        <v>19.8672</v>
      </c>
      <c r="F4" s="2">
        <v>21.535799999999998</v>
      </c>
      <c r="G4" s="2">
        <v>22.3721</v>
      </c>
      <c r="H4" s="2">
        <v>23.381399999999999</v>
      </c>
      <c r="I4" s="2">
        <v>24.175000000000001</v>
      </c>
      <c r="J4" s="2">
        <v>25.714400000000001</v>
      </c>
      <c r="K4" s="2">
        <v>27.022200000000002</v>
      </c>
      <c r="L4" s="2">
        <v>27.846299999999999</v>
      </c>
      <c r="M4" s="2">
        <v>28.614799999999999</v>
      </c>
      <c r="N4" s="2">
        <v>29.079499999999999</v>
      </c>
      <c r="O4" s="2">
        <v>29.351299999999998</v>
      </c>
      <c r="P4" s="2">
        <v>29.645299999999999</v>
      </c>
      <c r="Q4" s="2">
        <v>30.435300000000002</v>
      </c>
      <c r="R4" s="2">
        <v>31.361599999999999</v>
      </c>
      <c r="S4" s="2">
        <v>31.536300000000001</v>
      </c>
    </row>
    <row r="5" spans="1:19" x14ac:dyDescent="0.3">
      <c r="A5" t="s">
        <v>19</v>
      </c>
      <c r="B5" t="s">
        <v>15</v>
      </c>
      <c r="C5" t="s">
        <v>16</v>
      </c>
      <c r="D5" s="2">
        <v>8.9678900000000006</v>
      </c>
      <c r="E5" s="2">
        <v>12.2372</v>
      </c>
      <c r="F5" s="2">
        <v>16.6419</v>
      </c>
      <c r="G5" s="2">
        <v>19.48</v>
      </c>
      <c r="H5" s="2">
        <v>20.8566</v>
      </c>
      <c r="I5" s="2">
        <v>21.581900000000001</v>
      </c>
      <c r="J5" s="2">
        <v>22.504300000000001</v>
      </c>
      <c r="K5" s="2">
        <v>23.331900000000001</v>
      </c>
      <c r="L5" s="2">
        <v>23.572600000000001</v>
      </c>
      <c r="M5" s="2">
        <v>25.234100000000002</v>
      </c>
      <c r="N5" s="2">
        <v>26.865100000000002</v>
      </c>
      <c r="O5" s="2">
        <v>28.015599999999999</v>
      </c>
      <c r="P5" s="2">
        <v>28.968299999999999</v>
      </c>
      <c r="Q5" s="2">
        <v>26.0745</v>
      </c>
      <c r="R5" s="2">
        <v>26.715800000000002</v>
      </c>
      <c r="S5" s="2">
        <v>27.660699999999999</v>
      </c>
    </row>
    <row r="6" spans="1:19" x14ac:dyDescent="0.3">
      <c r="A6" t="s">
        <v>20</v>
      </c>
      <c r="B6" t="s">
        <v>15</v>
      </c>
      <c r="C6" t="s">
        <v>16</v>
      </c>
      <c r="D6" s="2">
        <v>30.391500000000001</v>
      </c>
      <c r="E6" s="2">
        <v>31.484400000000001</v>
      </c>
      <c r="F6" s="2">
        <v>31.672000000000001</v>
      </c>
      <c r="G6" s="2">
        <v>31.984000000000002</v>
      </c>
      <c r="H6" s="2">
        <v>32.039099999999998</v>
      </c>
      <c r="I6" s="2">
        <v>32.283000000000001</v>
      </c>
      <c r="J6" s="2">
        <v>32.785499999999999</v>
      </c>
      <c r="K6" s="2">
        <v>33.8414</v>
      </c>
      <c r="L6" s="2">
        <v>35.677799999999998</v>
      </c>
      <c r="M6" s="2">
        <v>37.0822</v>
      </c>
      <c r="N6" s="2">
        <v>38.326599999999999</v>
      </c>
      <c r="O6" s="2">
        <v>38.741300000000003</v>
      </c>
      <c r="P6" s="2">
        <v>39.290599999999998</v>
      </c>
      <c r="Q6" s="2">
        <v>40.368000000000002</v>
      </c>
      <c r="R6" s="2">
        <v>40.835099999999997</v>
      </c>
      <c r="S6" s="2">
        <v>40.609299999999998</v>
      </c>
    </row>
    <row r="7" spans="1:19" x14ac:dyDescent="0.3">
      <c r="A7" t="s">
        <v>21</v>
      </c>
      <c r="B7" t="s">
        <v>15</v>
      </c>
      <c r="C7" t="s">
        <v>16</v>
      </c>
      <c r="D7" s="2">
        <v>17.3003</v>
      </c>
      <c r="E7" s="2">
        <v>18.4495</v>
      </c>
      <c r="F7" s="2">
        <v>20.035699999999999</v>
      </c>
      <c r="G7" s="2">
        <v>21.9297</v>
      </c>
      <c r="H7" s="2">
        <v>24.027200000000001</v>
      </c>
      <c r="I7" s="2">
        <v>25.7288</v>
      </c>
      <c r="J7" s="2">
        <v>28.265699999999999</v>
      </c>
      <c r="K7" s="2">
        <v>27.337800000000001</v>
      </c>
      <c r="L7" s="2">
        <v>28.677399999999999</v>
      </c>
      <c r="M7" s="2">
        <v>29.8964</v>
      </c>
      <c r="N7" s="2">
        <v>28.2319</v>
      </c>
      <c r="O7" s="2">
        <v>28.144500000000001</v>
      </c>
      <c r="P7" s="2">
        <v>28.279199999999999</v>
      </c>
      <c r="Q7" s="2">
        <v>28.498899999999999</v>
      </c>
      <c r="R7" s="2">
        <v>28.712700000000002</v>
      </c>
      <c r="S7" s="2">
        <v>28.44</v>
      </c>
    </row>
    <row r="8" spans="1:19" x14ac:dyDescent="0.3">
      <c r="A8" t="s">
        <v>22</v>
      </c>
      <c r="B8" t="s">
        <v>15</v>
      </c>
      <c r="C8" t="s">
        <v>16</v>
      </c>
      <c r="D8" s="2">
        <v>33.312399999999997</v>
      </c>
      <c r="E8" s="2">
        <v>34.975700000000003</v>
      </c>
      <c r="F8" s="2">
        <v>36.735500000000002</v>
      </c>
      <c r="G8" s="2">
        <v>37.737200000000001</v>
      </c>
      <c r="H8" s="2">
        <v>38.561399999999999</v>
      </c>
      <c r="I8" s="2">
        <v>39.337400000000002</v>
      </c>
      <c r="J8" s="2">
        <v>40.030500000000004</v>
      </c>
      <c r="K8" s="2">
        <v>40.2288</v>
      </c>
      <c r="L8" s="2">
        <v>41.088000000000001</v>
      </c>
      <c r="M8" s="2">
        <v>41.981400000000001</v>
      </c>
      <c r="N8" s="2">
        <v>42.0989</v>
      </c>
      <c r="O8" s="2">
        <v>42.5152</v>
      </c>
      <c r="P8" s="2">
        <v>42.529299999999999</v>
      </c>
      <c r="Q8" s="2">
        <v>42.666699999999999</v>
      </c>
      <c r="R8" s="2">
        <v>42.946100000000001</v>
      </c>
      <c r="S8" s="2">
        <v>43.564300000000003</v>
      </c>
    </row>
    <row r="9" spans="1:19" x14ac:dyDescent="0.3">
      <c r="A9" t="s">
        <v>23</v>
      </c>
      <c r="B9" t="s">
        <v>15</v>
      </c>
      <c r="C9" t="s">
        <v>16</v>
      </c>
      <c r="D9" s="2">
        <v>30.5746</v>
      </c>
      <c r="E9" s="2">
        <v>30.4514</v>
      </c>
      <c r="F9" s="2">
        <v>29.3246</v>
      </c>
      <c r="G9" s="2">
        <v>29.075099999999999</v>
      </c>
      <c r="H9" s="2">
        <v>29.805599999999998</v>
      </c>
      <c r="I9" s="2">
        <v>30.432400000000001</v>
      </c>
      <c r="J9" s="2">
        <v>31.626799999999999</v>
      </c>
      <c r="K9" s="2">
        <v>32.197000000000003</v>
      </c>
      <c r="L9" s="2">
        <v>31.569099999999999</v>
      </c>
      <c r="M9" s="2">
        <v>31.152899999999999</v>
      </c>
      <c r="N9" s="2">
        <v>31.043500000000002</v>
      </c>
      <c r="O9" s="2">
        <v>31.491700000000002</v>
      </c>
      <c r="P9" s="2">
        <v>32.543999999999997</v>
      </c>
      <c r="Q9" s="2">
        <v>33.383899999999997</v>
      </c>
      <c r="R9" s="2">
        <v>33.639699999999998</v>
      </c>
      <c r="S9" s="2">
        <v>34.295200000000001</v>
      </c>
    </row>
    <row r="10" spans="1:19" x14ac:dyDescent="0.3">
      <c r="A10" t="s">
        <v>24</v>
      </c>
      <c r="B10" t="s">
        <v>15</v>
      </c>
      <c r="C10" t="s">
        <v>16</v>
      </c>
      <c r="D10" s="2">
        <v>14.4785</v>
      </c>
      <c r="E10" s="2">
        <v>16.954499999999999</v>
      </c>
      <c r="F10" s="2">
        <v>19.538599999999999</v>
      </c>
      <c r="G10" s="2">
        <v>21.609100000000002</v>
      </c>
      <c r="H10" s="2">
        <v>23.906400000000001</v>
      </c>
      <c r="I10" s="2">
        <v>25.286899999999999</v>
      </c>
      <c r="J10" s="2">
        <v>27.172699999999999</v>
      </c>
      <c r="K10" s="2">
        <v>28.4754</v>
      </c>
      <c r="L10" s="2">
        <v>27.998000000000001</v>
      </c>
      <c r="M10" s="2">
        <v>29.149100000000001</v>
      </c>
      <c r="N10" s="2">
        <v>29.845300000000002</v>
      </c>
      <c r="O10" s="2">
        <v>30.551300000000001</v>
      </c>
      <c r="P10" s="2">
        <v>35.430199999999999</v>
      </c>
      <c r="Q10" s="2">
        <v>36.449100000000001</v>
      </c>
      <c r="R10" s="2">
        <v>37.4985</v>
      </c>
      <c r="S10" s="2">
        <v>37.713700000000003</v>
      </c>
    </row>
    <row r="11" spans="1:19" x14ac:dyDescent="0.3">
      <c r="A11" t="s">
        <v>25</v>
      </c>
      <c r="B11" t="s">
        <v>15</v>
      </c>
      <c r="C11" t="s">
        <v>16</v>
      </c>
      <c r="D11" s="2">
        <v>9.3537800000000004</v>
      </c>
      <c r="E11" s="2">
        <v>12.150399999999999</v>
      </c>
      <c r="F11" s="2">
        <v>13.668699999999999</v>
      </c>
      <c r="G11" s="2">
        <v>14.6854</v>
      </c>
      <c r="H11" s="2">
        <v>16.1875</v>
      </c>
      <c r="I11" s="2">
        <v>17.567499999999999</v>
      </c>
      <c r="J11" s="2">
        <v>18.8919</v>
      </c>
      <c r="K11" s="2">
        <v>20.114000000000001</v>
      </c>
      <c r="L11" s="2">
        <v>21.449000000000002</v>
      </c>
      <c r="M11" s="2">
        <v>22.4983</v>
      </c>
      <c r="N11" s="2">
        <v>24.148900000000001</v>
      </c>
      <c r="O11" s="2">
        <v>25.970199999999998</v>
      </c>
      <c r="P11" s="2">
        <v>27.060600000000001</v>
      </c>
      <c r="Q11" s="2">
        <v>29.3141</v>
      </c>
      <c r="R11" s="2">
        <v>31.695</v>
      </c>
      <c r="S11" s="2">
        <v>33.211599999999997</v>
      </c>
    </row>
    <row r="12" spans="1:19" x14ac:dyDescent="0.3">
      <c r="A12" t="s">
        <v>26</v>
      </c>
      <c r="B12" t="s">
        <v>15</v>
      </c>
      <c r="C12" t="s">
        <v>16</v>
      </c>
      <c r="D12" s="2">
        <v>26.793299999999999</v>
      </c>
      <c r="E12" s="2">
        <v>29.2849</v>
      </c>
      <c r="F12" s="2">
        <v>31.337599999999998</v>
      </c>
      <c r="G12" s="2">
        <v>33.181800000000003</v>
      </c>
      <c r="H12" s="2">
        <v>32.733899999999998</v>
      </c>
      <c r="I12" s="2">
        <v>31.9618</v>
      </c>
      <c r="J12" s="2">
        <v>32.483400000000003</v>
      </c>
      <c r="K12" s="2">
        <v>33.580300000000001</v>
      </c>
      <c r="L12" s="2">
        <v>34.2911</v>
      </c>
      <c r="M12" s="2">
        <v>34.806800000000003</v>
      </c>
      <c r="N12" s="2">
        <v>35.976799999999997</v>
      </c>
      <c r="O12" s="2">
        <v>36.885300000000001</v>
      </c>
      <c r="P12" s="2">
        <v>37.3611</v>
      </c>
      <c r="Q12" s="2">
        <v>37.296100000000003</v>
      </c>
      <c r="R12" s="2">
        <v>38.04</v>
      </c>
      <c r="S12" s="2">
        <v>38.326999999999998</v>
      </c>
    </row>
    <row r="13" spans="1:19" x14ac:dyDescent="0.3">
      <c r="A13" t="s">
        <v>27</v>
      </c>
      <c r="B13" t="s">
        <v>15</v>
      </c>
      <c r="C13" t="s">
        <v>16</v>
      </c>
      <c r="D13" s="2">
        <v>19.549299999999999</v>
      </c>
      <c r="E13" s="2">
        <v>20.773099999999999</v>
      </c>
      <c r="F13" s="2">
        <v>22.5106</v>
      </c>
      <c r="G13" s="2">
        <v>24.511399999999998</v>
      </c>
      <c r="H13" s="2">
        <v>24.992599999999999</v>
      </c>
      <c r="I13" s="2">
        <v>25.264500000000002</v>
      </c>
      <c r="J13" s="2">
        <v>26.322299999999998</v>
      </c>
      <c r="K13" s="2">
        <v>27.5977</v>
      </c>
      <c r="L13" s="2">
        <v>28.4069</v>
      </c>
      <c r="M13" s="2">
        <v>28.877600000000001</v>
      </c>
      <c r="N13" s="2">
        <v>28.5426</v>
      </c>
      <c r="O13" s="2">
        <v>28.515000000000001</v>
      </c>
      <c r="P13" s="2">
        <v>28.363199999999999</v>
      </c>
      <c r="Q13" s="2">
        <v>29.210599999999999</v>
      </c>
      <c r="R13" s="2">
        <v>29.253699999999998</v>
      </c>
      <c r="S13" s="2">
        <v>29.234300000000001</v>
      </c>
    </row>
    <row r="14" spans="1:19" x14ac:dyDescent="0.3">
      <c r="A14" t="s">
        <v>28</v>
      </c>
      <c r="B14" t="s">
        <v>15</v>
      </c>
      <c r="C14" t="s">
        <v>16</v>
      </c>
      <c r="D14" s="2">
        <v>14.495699999999999</v>
      </c>
      <c r="E14" s="2">
        <v>17.676300000000001</v>
      </c>
      <c r="F14" s="2">
        <v>19.764500000000002</v>
      </c>
      <c r="G14" s="2">
        <v>21.639399999999998</v>
      </c>
      <c r="H14" s="2">
        <v>23.254899999999999</v>
      </c>
      <c r="I14" s="2">
        <v>24.161799999999999</v>
      </c>
      <c r="J14" s="2">
        <v>26.2622</v>
      </c>
      <c r="K14" s="2">
        <v>26.164200000000001</v>
      </c>
      <c r="L14" s="2">
        <v>27.632200000000001</v>
      </c>
      <c r="M14" s="2">
        <v>28.688800000000001</v>
      </c>
      <c r="N14" s="2">
        <v>30.2136</v>
      </c>
      <c r="O14" s="2">
        <v>31.5063</v>
      </c>
      <c r="P14" s="2">
        <v>32.646599999999999</v>
      </c>
      <c r="Q14" s="2">
        <v>33.492199999999997</v>
      </c>
      <c r="R14" s="2">
        <v>34.839199999999998</v>
      </c>
      <c r="S14" s="2">
        <v>36.533799999999999</v>
      </c>
    </row>
    <row r="15" spans="1:19" x14ac:dyDescent="0.3">
      <c r="A15" t="s">
        <v>29</v>
      </c>
      <c r="B15" t="s">
        <v>15</v>
      </c>
      <c r="C15" t="s">
        <v>16</v>
      </c>
      <c r="D15" s="2">
        <v>10.978300000000001</v>
      </c>
      <c r="E15" s="2">
        <v>11.745200000000001</v>
      </c>
      <c r="F15" s="2">
        <v>14.7255</v>
      </c>
      <c r="G15" s="2">
        <v>15.378500000000001</v>
      </c>
      <c r="H15" s="2">
        <v>18.247499999999999</v>
      </c>
      <c r="I15" s="2">
        <v>18.007999999999999</v>
      </c>
      <c r="J15" s="2">
        <v>18.377400000000002</v>
      </c>
      <c r="K15" s="2">
        <v>18.904599999999999</v>
      </c>
      <c r="L15" s="2">
        <v>18.986799999999999</v>
      </c>
      <c r="M15" s="2">
        <v>19.151299999999999</v>
      </c>
      <c r="N15" s="2">
        <v>19.953199999999999</v>
      </c>
      <c r="O15" s="2">
        <v>20.531400000000001</v>
      </c>
      <c r="P15" s="2">
        <v>20.504300000000001</v>
      </c>
      <c r="Q15" s="2">
        <v>21.925599999999999</v>
      </c>
      <c r="R15" s="2">
        <v>22.816600000000001</v>
      </c>
      <c r="S15" s="2">
        <v>23.837299999999999</v>
      </c>
    </row>
    <row r="16" spans="1:19" x14ac:dyDescent="0.3">
      <c r="A16" t="s">
        <v>30</v>
      </c>
      <c r="B16" t="s">
        <v>15</v>
      </c>
      <c r="C16" t="s">
        <v>16</v>
      </c>
      <c r="D16" s="2">
        <v>12.5725</v>
      </c>
      <c r="E16" s="2">
        <v>18.481100000000001</v>
      </c>
      <c r="F16" s="2">
        <v>21.489899999999999</v>
      </c>
      <c r="G16" s="2">
        <v>23.154900000000001</v>
      </c>
      <c r="H16" s="2">
        <v>24.6113</v>
      </c>
      <c r="I16" s="2">
        <v>25.4741</v>
      </c>
      <c r="J16" s="2">
        <v>26.712700000000002</v>
      </c>
      <c r="K16" s="2">
        <v>28.761600000000001</v>
      </c>
      <c r="L16" s="2">
        <v>30.725000000000001</v>
      </c>
      <c r="M16" s="2">
        <v>32.578699999999998</v>
      </c>
      <c r="N16" s="2">
        <v>34.215000000000003</v>
      </c>
      <c r="O16" s="2">
        <v>35.8108</v>
      </c>
      <c r="P16" s="2">
        <v>36.775300000000001</v>
      </c>
      <c r="Q16" s="2">
        <v>37.0625</v>
      </c>
      <c r="R16" s="2">
        <v>37.667099999999998</v>
      </c>
      <c r="S16" s="2">
        <v>37.899799999999999</v>
      </c>
    </row>
    <row r="17" spans="1:19" x14ac:dyDescent="0.3">
      <c r="A17" t="s">
        <v>31</v>
      </c>
      <c r="B17" t="s">
        <v>15</v>
      </c>
      <c r="C17" t="s">
        <v>16</v>
      </c>
      <c r="D17" s="2">
        <v>34.853099999999998</v>
      </c>
      <c r="E17" s="2">
        <v>36.508299999999998</v>
      </c>
      <c r="F17" s="2">
        <v>36.622199999999999</v>
      </c>
      <c r="G17" s="2">
        <v>38.076000000000001</v>
      </c>
      <c r="H17" s="2">
        <v>38.472499999999997</v>
      </c>
      <c r="I17" s="2">
        <v>38.976700000000001</v>
      </c>
      <c r="J17" s="2">
        <v>40.467799999999997</v>
      </c>
      <c r="K17" s="2">
        <v>41.492600000000003</v>
      </c>
      <c r="L17" s="2">
        <v>42.313299999999998</v>
      </c>
      <c r="M17" s="2">
        <v>42.969900000000003</v>
      </c>
      <c r="N17" s="2">
        <v>43.569800000000001</v>
      </c>
      <c r="O17" s="2">
        <v>43.769100000000002</v>
      </c>
      <c r="P17" s="2">
        <v>43.622999999999998</v>
      </c>
      <c r="Q17" s="2">
        <v>44.418599999999998</v>
      </c>
      <c r="R17" s="2">
        <v>44.959800000000001</v>
      </c>
      <c r="S17" s="2">
        <v>44.886400000000002</v>
      </c>
    </row>
    <row r="18" spans="1:19" x14ac:dyDescent="0.3">
      <c r="A18" t="s">
        <v>32</v>
      </c>
      <c r="B18" t="s">
        <v>15</v>
      </c>
      <c r="C18" t="s">
        <v>16</v>
      </c>
      <c r="D18" s="2">
        <v>9.2114700000000003</v>
      </c>
      <c r="E18" s="2">
        <v>13.604900000000001</v>
      </c>
      <c r="F18" s="2">
        <v>17.2544</v>
      </c>
      <c r="G18" s="2">
        <v>20.249199999999998</v>
      </c>
      <c r="H18" s="2">
        <v>22.1831</v>
      </c>
      <c r="I18" s="2">
        <v>24.342500000000001</v>
      </c>
      <c r="J18" s="2">
        <v>26.561900000000001</v>
      </c>
      <c r="K18" s="2">
        <v>28.972899999999999</v>
      </c>
      <c r="L18" s="2">
        <v>31.781400000000001</v>
      </c>
      <c r="M18" s="2">
        <v>33.5486</v>
      </c>
      <c r="N18" s="2">
        <v>35.135100000000001</v>
      </c>
      <c r="O18" s="2">
        <v>36.920299999999997</v>
      </c>
      <c r="P18" s="2">
        <v>38.3566</v>
      </c>
      <c r="Q18" s="2">
        <v>39.787599999999998</v>
      </c>
      <c r="R18" s="2">
        <v>41.921300000000002</v>
      </c>
      <c r="S18" s="2">
        <v>42.923000000000002</v>
      </c>
    </row>
    <row r="19" spans="1:19" x14ac:dyDescent="0.3">
      <c r="A19" t="s">
        <v>33</v>
      </c>
      <c r="B19" t="s">
        <v>15</v>
      </c>
      <c r="C19" t="s">
        <v>16</v>
      </c>
      <c r="D19" s="2">
        <v>14.4788</v>
      </c>
      <c r="E19" s="2">
        <v>15.481</v>
      </c>
      <c r="F19" s="2">
        <v>18.076599999999999</v>
      </c>
      <c r="G19" s="2">
        <v>20.1036</v>
      </c>
      <c r="H19" s="2">
        <v>21.2468</v>
      </c>
      <c r="I19" s="2">
        <v>22.7408</v>
      </c>
      <c r="J19" s="2">
        <v>24.510300000000001</v>
      </c>
      <c r="K19" s="2">
        <v>27.462199999999999</v>
      </c>
      <c r="L19" s="2">
        <v>30.3</v>
      </c>
      <c r="M19" s="2">
        <v>32.625900000000001</v>
      </c>
      <c r="N19" s="2">
        <v>34.601599999999998</v>
      </c>
      <c r="O19" s="2">
        <v>36.654299999999999</v>
      </c>
      <c r="P19" s="2">
        <v>38.360599999999998</v>
      </c>
      <c r="Q19" s="2">
        <v>40.121499999999997</v>
      </c>
      <c r="R19" s="2">
        <v>41.514600000000002</v>
      </c>
      <c r="S19" s="2">
        <v>42.936999999999998</v>
      </c>
    </row>
    <row r="20" spans="1:19" x14ac:dyDescent="0.3">
      <c r="A20" t="s">
        <v>34</v>
      </c>
      <c r="B20" t="s">
        <v>15</v>
      </c>
      <c r="C20" t="s">
        <v>16</v>
      </c>
      <c r="D20" s="2">
        <v>17.698599999999999</v>
      </c>
      <c r="E20" s="2">
        <v>19.759799999999998</v>
      </c>
      <c r="F20" s="2">
        <v>21.015499999999999</v>
      </c>
      <c r="G20" s="2">
        <v>22.741800000000001</v>
      </c>
      <c r="H20" s="2">
        <v>23.7623</v>
      </c>
      <c r="I20" s="2">
        <v>24.5107</v>
      </c>
      <c r="J20" s="2">
        <v>26.145900000000001</v>
      </c>
      <c r="K20" s="2">
        <v>27.835899999999999</v>
      </c>
      <c r="L20" s="2">
        <v>29.009899999999998</v>
      </c>
      <c r="M20" s="2">
        <v>30.198599999999999</v>
      </c>
      <c r="N20" s="2">
        <v>31.296500000000002</v>
      </c>
      <c r="O20" s="2">
        <v>32.227699999999999</v>
      </c>
      <c r="P20" s="2">
        <v>32.921999999999997</v>
      </c>
      <c r="Q20" s="2">
        <v>33.952800000000003</v>
      </c>
      <c r="R20" s="2">
        <v>34.930199999999999</v>
      </c>
      <c r="S20" s="2">
        <v>35.784599999999998</v>
      </c>
    </row>
    <row r="21" spans="1:19" x14ac:dyDescent="0.3">
      <c r="A21" t="s">
        <v>35</v>
      </c>
      <c r="B21" t="s">
        <v>15</v>
      </c>
      <c r="C21" t="s">
        <v>16</v>
      </c>
      <c r="D21" s="2">
        <v>25.689399999999999</v>
      </c>
      <c r="E21" s="2">
        <v>27.848600000000001</v>
      </c>
      <c r="F21" s="2">
        <v>29.161899999999999</v>
      </c>
      <c r="G21" s="2">
        <v>30.842600000000001</v>
      </c>
      <c r="H21" s="2">
        <v>32.103200000000001</v>
      </c>
      <c r="I21" s="2">
        <v>33.238799999999998</v>
      </c>
      <c r="J21" s="2">
        <v>34.308500000000002</v>
      </c>
      <c r="K21" s="2">
        <v>35.781999999999996</v>
      </c>
      <c r="L21" s="2">
        <v>36.549199999999999</v>
      </c>
      <c r="M21" s="2">
        <v>37.6813</v>
      </c>
      <c r="N21" s="2">
        <v>38.491100000000003</v>
      </c>
      <c r="O21" s="2">
        <v>39.400700000000001</v>
      </c>
      <c r="P21" s="2">
        <v>39.951799999999999</v>
      </c>
      <c r="Q21" s="2">
        <v>41.024000000000001</v>
      </c>
      <c r="R21" s="2">
        <v>43.021799999999999</v>
      </c>
      <c r="S21" s="2">
        <v>43.5657</v>
      </c>
    </row>
    <row r="22" spans="1:19" x14ac:dyDescent="0.3">
      <c r="A22" t="s">
        <v>36</v>
      </c>
      <c r="B22" t="s">
        <v>15</v>
      </c>
      <c r="C22" t="s">
        <v>16</v>
      </c>
      <c r="D22" s="2">
        <v>19.761900000000001</v>
      </c>
      <c r="E22" s="2">
        <v>22.037700000000001</v>
      </c>
      <c r="F22" s="2">
        <v>23.500800000000002</v>
      </c>
      <c r="G22" s="2">
        <v>26.1282</v>
      </c>
      <c r="H22" s="2">
        <v>26.288799999999998</v>
      </c>
      <c r="I22" s="2">
        <v>26.4254</v>
      </c>
      <c r="J22" s="2">
        <v>27.387699999999999</v>
      </c>
      <c r="K22" s="2">
        <v>28.2254</v>
      </c>
      <c r="L22" s="2">
        <v>29.688300000000002</v>
      </c>
      <c r="M22" s="2">
        <v>31.498899999999999</v>
      </c>
      <c r="N22" s="2">
        <v>32.521999999999998</v>
      </c>
      <c r="O22" s="2">
        <v>33.372500000000002</v>
      </c>
      <c r="P22" s="2">
        <v>33.8508</v>
      </c>
      <c r="Q22" s="2">
        <v>34.270000000000003</v>
      </c>
      <c r="R22" s="2">
        <v>37.357199999999999</v>
      </c>
      <c r="S22" s="2">
        <v>39.721899999999998</v>
      </c>
    </row>
    <row r="23" spans="1:19" x14ac:dyDescent="0.3">
      <c r="A23" t="s">
        <v>37</v>
      </c>
      <c r="B23" t="s">
        <v>15</v>
      </c>
      <c r="C23" t="s">
        <v>16</v>
      </c>
      <c r="D23" s="2">
        <v>17.124600000000001</v>
      </c>
      <c r="E23" s="2">
        <v>18.932099999999998</v>
      </c>
      <c r="F23" s="2">
        <v>20.173200000000001</v>
      </c>
      <c r="G23" s="2">
        <v>21.770499999999998</v>
      </c>
      <c r="H23" s="2">
        <v>22.393899999999999</v>
      </c>
      <c r="I23" s="2">
        <v>22.737500000000001</v>
      </c>
      <c r="J23" s="2">
        <v>23.103200000000001</v>
      </c>
      <c r="K23" s="2">
        <v>23.708400000000001</v>
      </c>
      <c r="L23" s="2">
        <v>24.597799999999999</v>
      </c>
      <c r="M23" s="2">
        <v>25.733699999999999</v>
      </c>
      <c r="N23" s="2">
        <v>27.465299999999999</v>
      </c>
      <c r="O23" s="2">
        <v>28.4649</v>
      </c>
      <c r="P23" s="2">
        <v>29.054500000000001</v>
      </c>
      <c r="Q23" s="2">
        <v>30.258600000000001</v>
      </c>
      <c r="R23" s="2">
        <v>31.285299999999999</v>
      </c>
      <c r="S23" s="2">
        <v>31.191400000000002</v>
      </c>
    </row>
    <row r="24" spans="1:19" x14ac:dyDescent="0.3">
      <c r="A24" t="s">
        <v>38</v>
      </c>
      <c r="B24" t="s">
        <v>15</v>
      </c>
      <c r="C24" t="s">
        <v>16</v>
      </c>
      <c r="D24" s="2">
        <v>15.383599999999999</v>
      </c>
      <c r="E24" s="2">
        <v>18.9239</v>
      </c>
      <c r="F24" s="2">
        <v>21.228100000000001</v>
      </c>
      <c r="G24" s="2">
        <v>20.729800000000001</v>
      </c>
      <c r="H24" s="2">
        <v>22.2056</v>
      </c>
      <c r="I24" s="2">
        <v>23.401800000000001</v>
      </c>
      <c r="J24" s="2">
        <v>24.639700000000001</v>
      </c>
      <c r="K24" s="2">
        <v>25.324100000000001</v>
      </c>
      <c r="L24" s="2">
        <v>25.456900000000001</v>
      </c>
      <c r="M24" s="2">
        <v>26.4893</v>
      </c>
      <c r="N24" s="2">
        <v>27.0886</v>
      </c>
      <c r="O24" s="2">
        <v>27.287700000000001</v>
      </c>
      <c r="P24" s="2">
        <v>26.585899999999999</v>
      </c>
      <c r="Q24" s="2">
        <v>25.804200000000002</v>
      </c>
      <c r="R24" s="2">
        <v>25.976199999999999</v>
      </c>
      <c r="S24" s="2">
        <v>25.9892</v>
      </c>
    </row>
    <row r="25" spans="1:19" x14ac:dyDescent="0.3">
      <c r="A25" t="s">
        <v>39</v>
      </c>
      <c r="B25" t="s">
        <v>15</v>
      </c>
      <c r="C25" t="s">
        <v>16</v>
      </c>
      <c r="D25" s="2">
        <v>20.130099999999999</v>
      </c>
      <c r="E25" s="2">
        <v>23.4406</v>
      </c>
      <c r="F25" s="2">
        <v>27.009799999999998</v>
      </c>
      <c r="G25" s="2">
        <v>29.785599999999999</v>
      </c>
      <c r="H25" s="2">
        <v>30.303699999999999</v>
      </c>
      <c r="I25" s="2">
        <v>31.822399999999998</v>
      </c>
      <c r="J25" s="2">
        <v>33.378300000000003</v>
      </c>
      <c r="K25" s="2">
        <v>34.881999999999998</v>
      </c>
      <c r="L25" s="2">
        <v>36.6768</v>
      </c>
      <c r="M25" s="2">
        <v>37.618000000000002</v>
      </c>
      <c r="N25" s="2">
        <v>38.751300000000001</v>
      </c>
      <c r="O25" s="2">
        <v>39.589300000000001</v>
      </c>
      <c r="P25" s="2">
        <v>40.18</v>
      </c>
      <c r="Q25" s="2">
        <v>41.109400000000001</v>
      </c>
      <c r="R25" s="2">
        <v>42.183100000000003</v>
      </c>
      <c r="S25" s="2">
        <v>43.445</v>
      </c>
    </row>
    <row r="26" spans="1:19" x14ac:dyDescent="0.3">
      <c r="A26" t="s">
        <v>40</v>
      </c>
      <c r="B26" t="s">
        <v>15</v>
      </c>
      <c r="C26" t="s">
        <v>16</v>
      </c>
      <c r="D26" s="2">
        <v>8.29162</v>
      </c>
      <c r="E26" s="2">
        <v>11.1942</v>
      </c>
      <c r="F26" s="2">
        <v>13.3284</v>
      </c>
      <c r="G26" s="2">
        <v>15.1221</v>
      </c>
      <c r="H26" s="2">
        <v>17.029699999999998</v>
      </c>
      <c r="I26" s="2">
        <v>18.200700000000001</v>
      </c>
      <c r="J26" s="2">
        <v>19.568200000000001</v>
      </c>
      <c r="K26" s="2">
        <v>20.501100000000001</v>
      </c>
      <c r="L26" s="2">
        <v>22.494399999999999</v>
      </c>
      <c r="M26" s="2">
        <v>23.817699999999999</v>
      </c>
      <c r="N26" s="2">
        <v>25.392499999999998</v>
      </c>
      <c r="O26" s="2">
        <v>27.103400000000001</v>
      </c>
      <c r="P26" s="2">
        <v>28.883700000000001</v>
      </c>
      <c r="Q26" s="2">
        <v>30.504300000000001</v>
      </c>
      <c r="R26" s="2">
        <v>32.768799999999999</v>
      </c>
      <c r="S26" s="2">
        <v>34.966799999999999</v>
      </c>
    </row>
    <row r="27" spans="1:19" x14ac:dyDescent="0.3">
      <c r="A27" t="s">
        <v>41</v>
      </c>
      <c r="B27" t="s">
        <v>15</v>
      </c>
      <c r="C27" t="s">
        <v>16</v>
      </c>
      <c r="D27" s="2">
        <v>24.294899999999998</v>
      </c>
      <c r="E27" s="2">
        <v>27.998899999999999</v>
      </c>
      <c r="F27" s="2">
        <v>30.845099999999999</v>
      </c>
      <c r="G27" s="2">
        <v>32.366300000000003</v>
      </c>
      <c r="H27" s="2">
        <v>33.709899999999998</v>
      </c>
      <c r="I27" s="2">
        <v>34.5501</v>
      </c>
      <c r="J27" s="2">
        <v>35.342300000000002</v>
      </c>
      <c r="K27" s="2">
        <v>36.340899999999998</v>
      </c>
      <c r="L27" s="2">
        <v>37.412700000000001</v>
      </c>
      <c r="M27" s="2">
        <v>38.499099999999999</v>
      </c>
      <c r="N27" s="2">
        <v>39.988799999999998</v>
      </c>
      <c r="O27" s="2">
        <v>40.9651</v>
      </c>
      <c r="P27" s="2">
        <v>42.115600000000001</v>
      </c>
      <c r="Q27" s="2">
        <v>43.304900000000004</v>
      </c>
      <c r="R27" s="2">
        <v>44.064300000000003</v>
      </c>
      <c r="S27" s="2">
        <v>44.618600000000001</v>
      </c>
    </row>
    <row r="28" spans="1:19" x14ac:dyDescent="0.3">
      <c r="A28" t="s">
        <v>42</v>
      </c>
      <c r="B28" t="s">
        <v>15</v>
      </c>
      <c r="C28" t="s">
        <v>16</v>
      </c>
      <c r="D28" s="2">
        <v>10.166700000000001</v>
      </c>
      <c r="E28" s="2">
        <v>11.241400000000001</v>
      </c>
      <c r="F28" s="2">
        <v>14.3927</v>
      </c>
      <c r="G28" s="2">
        <v>16.264399999999998</v>
      </c>
      <c r="H28" s="2">
        <v>17.656099999999999</v>
      </c>
      <c r="I28" s="2">
        <v>19.343499999999999</v>
      </c>
      <c r="J28" s="2">
        <v>20.4986</v>
      </c>
      <c r="K28" s="2">
        <v>21.997499999999999</v>
      </c>
      <c r="L28" s="2">
        <v>23.500900000000001</v>
      </c>
      <c r="M28" s="2">
        <v>24.6264</v>
      </c>
      <c r="N28" s="2">
        <v>25.859100000000002</v>
      </c>
      <c r="O28" s="2">
        <v>27.695399999999999</v>
      </c>
      <c r="P28" s="2">
        <v>29.181100000000001</v>
      </c>
      <c r="Q28" s="2">
        <v>31.192499999999999</v>
      </c>
      <c r="R28" s="2">
        <v>32.606099999999998</v>
      </c>
      <c r="S28" s="2">
        <v>33.998800000000003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BD38-3380-46A8-9B41-39C3E5A0096F}">
  <dimension ref="A1:S28"/>
  <sheetViews>
    <sheetView workbookViewId="0">
      <selection activeCell="G36" sqref="G36"/>
    </sheetView>
  </sheetViews>
  <sheetFormatPr defaultRowHeight="14.4" x14ac:dyDescent="0.3"/>
  <sheetData>
    <row r="1" spans="1:19" x14ac:dyDescent="0.3">
      <c r="A1" t="s">
        <v>13</v>
      </c>
      <c r="B1" t="s">
        <v>43</v>
      </c>
      <c r="C1" t="s">
        <v>44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18</v>
      </c>
      <c r="B2" t="s">
        <v>45</v>
      </c>
      <c r="C2" t="s">
        <v>46</v>
      </c>
      <c r="D2" s="2">
        <v>5.3101183089861301</v>
      </c>
      <c r="E2" s="2">
        <v>-4.4840708104306204</v>
      </c>
      <c r="F2" s="2">
        <v>-5.0957827791384602</v>
      </c>
      <c r="G2" s="2">
        <v>1.68297175486512</v>
      </c>
      <c r="H2" s="2">
        <v>1.60886648916944</v>
      </c>
      <c r="I2" s="2">
        <v>-0.40502941658976899</v>
      </c>
      <c r="J2" s="2">
        <v>2.1929375750029001</v>
      </c>
      <c r="K2" s="2">
        <v>9.3857933513092107</v>
      </c>
      <c r="L2" s="2">
        <v>24.623985636400601</v>
      </c>
      <c r="M2" s="2">
        <v>1.2227166113094601</v>
      </c>
      <c r="N2" s="2">
        <v>10.1088576065965</v>
      </c>
      <c r="O2" s="2">
        <v>7.6886593743743497</v>
      </c>
      <c r="P2" s="2">
        <v>4.9728800376681601</v>
      </c>
      <c r="Q2" s="2">
        <v>7.1536950573533398</v>
      </c>
      <c r="R2" s="2">
        <v>16.258188115819699</v>
      </c>
      <c r="S2" s="2">
        <v>7.5111388841530404</v>
      </c>
    </row>
    <row r="3" spans="1:19" x14ac:dyDescent="0.3">
      <c r="A3" t="s">
        <v>24</v>
      </c>
      <c r="B3" t="s">
        <v>45</v>
      </c>
      <c r="C3" t="s">
        <v>46</v>
      </c>
      <c r="D3" s="2">
        <v>5.4888259516451603</v>
      </c>
      <c r="E3" s="2">
        <v>2.61226807205139</v>
      </c>
      <c r="F3" s="2">
        <v>-4.79832416684925</v>
      </c>
      <c r="G3" s="2">
        <v>2.7146650990770098</v>
      </c>
      <c r="H3" s="2">
        <v>1.7723808533847301</v>
      </c>
      <c r="I3" s="2">
        <v>-0.77066819062274305</v>
      </c>
      <c r="J3" s="2">
        <v>-4.1812416044749001E-2</v>
      </c>
      <c r="K3" s="2">
        <v>2.2452121986263398</v>
      </c>
      <c r="L3" s="2">
        <v>4.9587584891560397</v>
      </c>
      <c r="M3" s="2">
        <v>2.5808701392137499</v>
      </c>
      <c r="N3" s="2">
        <v>5.1735652996788097</v>
      </c>
      <c r="O3" s="2">
        <v>2.8303058826786498</v>
      </c>
      <c r="P3" s="2">
        <v>3.5657765812825999</v>
      </c>
      <c r="Q3" s="2">
        <v>-5.3048795546387497</v>
      </c>
      <c r="R3" s="2">
        <v>4.0290183205514802</v>
      </c>
      <c r="S3" s="2">
        <v>2.8471706583813998</v>
      </c>
    </row>
    <row r="4" spans="1:19" x14ac:dyDescent="0.3">
      <c r="A4" t="s">
        <v>32</v>
      </c>
      <c r="B4" t="s">
        <v>45</v>
      </c>
      <c r="C4" t="s">
        <v>46</v>
      </c>
      <c r="D4" s="2">
        <v>3.5068697663945798</v>
      </c>
      <c r="E4" s="2">
        <v>5.7474023820077401E-2</v>
      </c>
      <c r="F4" s="2">
        <v>-4.1192760671501096</v>
      </c>
      <c r="G4" s="2">
        <v>-5.6937412158002996</v>
      </c>
      <c r="H4" s="2">
        <v>-9.8767787530024194</v>
      </c>
      <c r="I4" s="2">
        <v>-8.3311342109999202</v>
      </c>
      <c r="J4" s="2">
        <v>-2.2721169988802301</v>
      </c>
      <c r="K4" s="2">
        <v>0.79222506096283496</v>
      </c>
      <c r="L4" s="2">
        <v>-0.22830189217285099</v>
      </c>
      <c r="M4" s="2">
        <v>-3.1794767841205301E-2</v>
      </c>
      <c r="N4" s="2">
        <v>1.4731247270235099</v>
      </c>
      <c r="O4" s="2">
        <v>2.0646720789240902</v>
      </c>
      <c r="P4" s="2">
        <v>2.2771806533480801</v>
      </c>
      <c r="Q4" s="2">
        <v>-9.1962314972697694</v>
      </c>
      <c r="R4" s="2">
        <v>8.6544978600212996</v>
      </c>
      <c r="S4" s="2">
        <v>5.5219858058940696</v>
      </c>
    </row>
    <row r="5" spans="1:19" x14ac:dyDescent="0.3">
      <c r="A5" t="s">
        <v>40</v>
      </c>
      <c r="B5" t="s">
        <v>45</v>
      </c>
      <c r="C5" t="s">
        <v>46</v>
      </c>
      <c r="D5" s="2">
        <v>6.6543879242260804</v>
      </c>
      <c r="E5" s="2">
        <v>6.1295584157920704</v>
      </c>
      <c r="F5" s="2">
        <v>-3.34714149737695</v>
      </c>
      <c r="G5" s="2">
        <v>1.55535979911014</v>
      </c>
      <c r="H5" s="2">
        <v>2.0901750775860299</v>
      </c>
      <c r="I5" s="2">
        <v>0.74881541192883105</v>
      </c>
      <c r="J5" s="2">
        <v>-0.54275138886113405</v>
      </c>
      <c r="K5" s="2">
        <v>0.94944909094789398</v>
      </c>
      <c r="L5" s="2">
        <v>3.3975533678041199</v>
      </c>
      <c r="M5" s="2">
        <v>3.0266284122951599</v>
      </c>
      <c r="N5" s="2">
        <v>2.7459267605486102</v>
      </c>
      <c r="O5" s="2">
        <v>2.3301521340704401</v>
      </c>
      <c r="P5" s="2">
        <v>3.7933176535415201</v>
      </c>
      <c r="Q5" s="2">
        <v>-3.1332330307641798</v>
      </c>
      <c r="R5" s="2">
        <v>7.8281723282216502</v>
      </c>
      <c r="S5" s="2">
        <v>4.0838640915122904</v>
      </c>
    </row>
    <row r="6" spans="1:19" x14ac:dyDescent="0.3">
      <c r="A6" t="s">
        <v>28</v>
      </c>
      <c r="B6" t="s">
        <v>45</v>
      </c>
      <c r="C6" t="s">
        <v>46</v>
      </c>
      <c r="D6" s="2">
        <v>0.33235433787892499</v>
      </c>
      <c r="E6" s="2">
        <v>0.99343708547965504</v>
      </c>
      <c r="F6" s="2">
        <v>-6.7401660845501903</v>
      </c>
      <c r="G6" s="2">
        <v>1.06795068152045</v>
      </c>
      <c r="H6" s="2">
        <v>1.91670916599741</v>
      </c>
      <c r="I6" s="2">
        <v>-1.3394844651818101</v>
      </c>
      <c r="J6" s="2">
        <v>2.0321699067814598</v>
      </c>
      <c r="K6" s="2">
        <v>4.3343536411396704</v>
      </c>
      <c r="L6" s="2">
        <v>3.65981615406954</v>
      </c>
      <c r="M6" s="2">
        <v>2.43864141309342</v>
      </c>
      <c r="N6" s="2">
        <v>4.1241838945180502</v>
      </c>
      <c r="O6" s="2">
        <v>5.6061381376887596</v>
      </c>
      <c r="P6" s="2">
        <v>5.0771849508893299</v>
      </c>
      <c r="Q6" s="2">
        <v>-4.3387254002405697</v>
      </c>
      <c r="R6" s="2">
        <v>7.2229158081113596</v>
      </c>
      <c r="S6" s="2">
        <v>4.1523805777922798</v>
      </c>
    </row>
    <row r="7" spans="1:19" x14ac:dyDescent="0.3">
      <c r="A7" t="s">
        <v>27</v>
      </c>
      <c r="B7" t="s">
        <v>45</v>
      </c>
      <c r="C7" t="s">
        <v>46</v>
      </c>
      <c r="D7" s="2">
        <v>3.7752246872918498</v>
      </c>
      <c r="E7" s="2">
        <v>1.45330562142113</v>
      </c>
      <c r="F7" s="2">
        <v>-3.58626472551299</v>
      </c>
      <c r="G7" s="2">
        <v>1.80898243043662</v>
      </c>
      <c r="H7" s="2">
        <v>2.9274680016914498</v>
      </c>
      <c r="I7" s="2">
        <v>0.62824623947963598</v>
      </c>
      <c r="J7" s="2">
        <v>-0.25072642331845402</v>
      </c>
      <c r="K7" s="2">
        <v>0.75579885031666505</v>
      </c>
      <c r="L7" s="2">
        <v>1.3035233182619801</v>
      </c>
      <c r="M7" s="2">
        <v>2.11721964494311</v>
      </c>
      <c r="N7" s="2">
        <v>2.2722499203820599</v>
      </c>
      <c r="O7" s="2">
        <v>2.4842211408002401</v>
      </c>
      <c r="P7" s="2">
        <v>1.7549761964928701</v>
      </c>
      <c r="Q7" s="2">
        <v>-6.3182550920993599</v>
      </c>
      <c r="R7" s="2">
        <v>4.9230917171790303</v>
      </c>
      <c r="S7" s="2">
        <v>5.3309637940036998</v>
      </c>
    </row>
    <row r="8" spans="1:19" x14ac:dyDescent="0.3">
      <c r="A8" t="s">
        <v>30</v>
      </c>
      <c r="B8" t="s">
        <v>45</v>
      </c>
      <c r="C8" t="s">
        <v>46</v>
      </c>
      <c r="D8" s="2">
        <v>5.0982261485479796</v>
      </c>
      <c r="E8" s="2">
        <v>3.6469892210393899</v>
      </c>
      <c r="F8" s="2">
        <v>-2.0150820368369402</v>
      </c>
      <c r="G8" s="2">
        <v>2.2826710011978801</v>
      </c>
      <c r="H8" s="2">
        <v>0.41671186840868302</v>
      </c>
      <c r="I8" s="2">
        <v>-3.4473815137458601</v>
      </c>
      <c r="J8" s="2">
        <v>-6.5874775111834598</v>
      </c>
      <c r="K8" s="2">
        <v>-1.77605867728615</v>
      </c>
      <c r="L8" s="2">
        <v>3.4189203888901201</v>
      </c>
      <c r="M8" s="2">
        <v>6.5735908092467801</v>
      </c>
      <c r="N8" s="2">
        <v>5.75083236554525</v>
      </c>
      <c r="O8" s="2">
        <v>6.2716636005640396</v>
      </c>
      <c r="P8" s="2">
        <v>5.8755958338660701</v>
      </c>
      <c r="Q8" s="2">
        <v>-3.2206301863756699</v>
      </c>
      <c r="R8" s="2">
        <v>11.397559080151099</v>
      </c>
      <c r="S8" s="2">
        <v>8.2737259729381307</v>
      </c>
    </row>
    <row r="9" spans="1:19" x14ac:dyDescent="0.3">
      <c r="A9" t="s">
        <v>34</v>
      </c>
      <c r="B9" t="s">
        <v>45</v>
      </c>
      <c r="C9" t="s">
        <v>46</v>
      </c>
      <c r="D9" s="2">
        <v>3.5335001316597201</v>
      </c>
      <c r="E9" s="2">
        <v>0.76716574829069295</v>
      </c>
      <c r="F9" s="2">
        <v>-3.7681330694005299</v>
      </c>
      <c r="G9" s="2">
        <v>9.4122311636951395E-2</v>
      </c>
      <c r="H9" s="2">
        <v>-0.63992063652034403</v>
      </c>
      <c r="I9" s="2">
        <v>-2.8651136863774802</v>
      </c>
      <c r="J9" s="2">
        <v>-1.4273222475762499</v>
      </c>
      <c r="K9" s="2">
        <v>1.52048593647231</v>
      </c>
      <c r="L9" s="2">
        <v>4.0608667247386503</v>
      </c>
      <c r="M9" s="2">
        <v>2.9151559859578602</v>
      </c>
      <c r="N9" s="2">
        <v>2.8960420786500598</v>
      </c>
      <c r="O9" s="2">
        <v>2.3954112447887699</v>
      </c>
      <c r="P9" s="2">
        <v>1.9611785084171001</v>
      </c>
      <c r="Q9" s="2">
        <v>-10.940070635036999</v>
      </c>
      <c r="R9" s="2">
        <v>6.6831442047300103</v>
      </c>
      <c r="S9" s="2">
        <v>6.3703171212960097</v>
      </c>
    </row>
    <row r="10" spans="1:19" x14ac:dyDescent="0.3">
      <c r="A10" t="s">
        <v>14</v>
      </c>
      <c r="B10" t="s">
        <v>45</v>
      </c>
      <c r="C10" t="s">
        <v>46</v>
      </c>
      <c r="D10" s="2">
        <v>2.5304818835106602</v>
      </c>
      <c r="E10" s="2">
        <v>0.380171435849121</v>
      </c>
      <c r="F10" s="2">
        <v>-2.82455153714782</v>
      </c>
      <c r="G10" s="2">
        <v>2.0003247603905101</v>
      </c>
      <c r="H10" s="2">
        <v>2.4375765372900702</v>
      </c>
      <c r="I10" s="2">
        <v>0.183835264973012</v>
      </c>
      <c r="J10" s="2">
        <v>0.78175644623100005</v>
      </c>
      <c r="K10" s="2">
        <v>0.99783294729525096</v>
      </c>
      <c r="L10" s="2">
        <v>1.06675474783462</v>
      </c>
      <c r="M10" s="2">
        <v>0.86003107542403201</v>
      </c>
      <c r="N10" s="2">
        <v>2.0836148599739901</v>
      </c>
      <c r="O10" s="2">
        <v>1.6459087239588599</v>
      </c>
      <c r="P10" s="2">
        <v>2.02744646419236</v>
      </c>
      <c r="Q10" s="2">
        <v>-7.4406458994823002</v>
      </c>
      <c r="R10" s="2">
        <v>6.8823378336023904</v>
      </c>
      <c r="S10" s="2">
        <v>2.71676264185913</v>
      </c>
    </row>
    <row r="11" spans="1:19" x14ac:dyDescent="0.3">
      <c r="A11" t="s">
        <v>41</v>
      </c>
      <c r="B11" t="s">
        <v>45</v>
      </c>
      <c r="C11" t="s">
        <v>46</v>
      </c>
      <c r="D11" s="2">
        <v>2.8891174138024902</v>
      </c>
      <c r="E11" s="2">
        <v>0.88790233074362801</v>
      </c>
      <c r="F11" s="2">
        <v>-5.5445545192067396</v>
      </c>
      <c r="G11" s="2">
        <v>4.1346377852275804</v>
      </c>
      <c r="H11" s="2">
        <v>3.7579688448933601</v>
      </c>
      <c r="I11" s="2">
        <v>0.46351203670920399</v>
      </c>
      <c r="J11" s="2">
        <v>0.39699558377914401</v>
      </c>
      <c r="K11" s="2">
        <v>2.1801860216801701</v>
      </c>
      <c r="L11" s="2">
        <v>1.6630060233477399</v>
      </c>
      <c r="M11" s="2">
        <v>2.2222221625937002</v>
      </c>
      <c r="N11" s="2">
        <v>2.7979067205509902</v>
      </c>
      <c r="O11" s="2">
        <v>1.13569604599848</v>
      </c>
      <c r="P11" s="2">
        <v>0.97773469703878302</v>
      </c>
      <c r="Q11" s="2">
        <v>-4.1319144323994603</v>
      </c>
      <c r="R11" s="2">
        <v>3.9099999420410798</v>
      </c>
      <c r="S11" s="2">
        <v>1.8092581243060899</v>
      </c>
    </row>
    <row r="12" spans="1:19" x14ac:dyDescent="0.3">
      <c r="A12" t="s">
        <v>39</v>
      </c>
      <c r="B12" t="s">
        <v>45</v>
      </c>
      <c r="C12" t="s">
        <v>46</v>
      </c>
      <c r="D12" s="2">
        <v>5.0364016813697097</v>
      </c>
      <c r="E12" s="2">
        <v>4.4105966058433799</v>
      </c>
      <c r="F12" s="2">
        <v>-1.3952497347108701</v>
      </c>
      <c r="G12" s="2">
        <v>6.19735041110465</v>
      </c>
      <c r="H12" s="2">
        <v>0.99220191192281904</v>
      </c>
      <c r="I12" s="2">
        <v>4.1016739224141201</v>
      </c>
      <c r="J12" s="2">
        <v>6.2923337586699803</v>
      </c>
      <c r="K12" s="2">
        <v>7.63136360845896</v>
      </c>
      <c r="L12" s="2">
        <v>9.6207031576496291</v>
      </c>
      <c r="M12" s="2">
        <v>4.0780035593219504</v>
      </c>
      <c r="N12" s="2">
        <v>12.9713424962458</v>
      </c>
      <c r="O12" s="2">
        <v>7.18921479603795</v>
      </c>
      <c r="P12" s="2">
        <v>4.08505582134097</v>
      </c>
      <c r="Q12" s="2">
        <v>-3.4572827629471101</v>
      </c>
      <c r="R12" s="2">
        <v>13.4117042939321</v>
      </c>
      <c r="S12" s="2">
        <v>2.4830999383779102</v>
      </c>
    </row>
    <row r="13" spans="1:19" x14ac:dyDescent="0.3">
      <c r="A13" t="s">
        <v>36</v>
      </c>
      <c r="B13" t="s">
        <v>45</v>
      </c>
      <c r="C13" t="s">
        <v>46</v>
      </c>
      <c r="D13" s="2">
        <v>7.5709187931188202</v>
      </c>
      <c r="E13" s="2">
        <v>-5.1253115430880296</v>
      </c>
      <c r="F13" s="2">
        <v>-14.6302225427906</v>
      </c>
      <c r="G13" s="2">
        <v>2.4497502063998899</v>
      </c>
      <c r="H13" s="2">
        <v>7.6069745891316201</v>
      </c>
      <c r="I13" s="2">
        <v>3.6720187250654099</v>
      </c>
      <c r="J13" s="2">
        <v>1.75649379621869</v>
      </c>
      <c r="K13" s="2">
        <v>3.3227898818270201</v>
      </c>
      <c r="L13" s="2">
        <v>1.83815262882932</v>
      </c>
      <c r="M13" s="2">
        <v>3.0930192075195801</v>
      </c>
      <c r="N13" s="2">
        <v>5.6346724896399101</v>
      </c>
      <c r="O13" s="2">
        <v>3.6996975616172501</v>
      </c>
      <c r="P13" s="2">
        <v>3.7266494346688401</v>
      </c>
      <c r="Q13" s="2">
        <v>-2.88380751483778</v>
      </c>
      <c r="R13" s="2">
        <v>8.2548804458003104</v>
      </c>
      <c r="S13" s="2">
        <v>-1.2261696658779599</v>
      </c>
    </row>
    <row r="14" spans="1:19" x14ac:dyDescent="0.3">
      <c r="A14" t="s">
        <v>38</v>
      </c>
      <c r="B14" t="s">
        <v>45</v>
      </c>
      <c r="C14" t="s">
        <v>46</v>
      </c>
      <c r="D14" s="2">
        <v>10.4145372792714</v>
      </c>
      <c r="E14" s="2">
        <v>-3.38871665849957</v>
      </c>
      <c r="F14" s="2">
        <v>-16.0400195313042</v>
      </c>
      <c r="G14" s="2">
        <v>-3.6612585955476198</v>
      </c>
      <c r="H14" s="2">
        <v>3.0363448266881501</v>
      </c>
      <c r="I14" s="2">
        <v>7.3052405720089597</v>
      </c>
      <c r="J14" s="2">
        <v>2.0960902815624798</v>
      </c>
      <c r="K14" s="2">
        <v>2.09495977105589</v>
      </c>
      <c r="L14" s="2">
        <v>3.7833671208497099</v>
      </c>
      <c r="M14" s="2">
        <v>2.5516860197403402</v>
      </c>
      <c r="N14" s="2">
        <v>3.3989487262393099</v>
      </c>
      <c r="O14" s="2">
        <v>4.3097128629450303</v>
      </c>
      <c r="P14" s="2">
        <v>0.67537277188422695</v>
      </c>
      <c r="Q14" s="2">
        <v>-3.4692275078055399</v>
      </c>
      <c r="R14" s="2">
        <v>6.9425417306259103</v>
      </c>
      <c r="S14" s="2">
        <v>1.90853419029801</v>
      </c>
    </row>
    <row r="15" spans="1:19" x14ac:dyDescent="0.3">
      <c r="A15" t="s">
        <v>35</v>
      </c>
      <c r="B15" t="s">
        <v>45</v>
      </c>
      <c r="C15" t="s">
        <v>46</v>
      </c>
      <c r="D15" s="2">
        <v>3.6769246251580201</v>
      </c>
      <c r="E15" s="2">
        <v>0.44690513072722998</v>
      </c>
      <c r="F15" s="2">
        <v>-1.9064410551533499</v>
      </c>
      <c r="G15" s="2">
        <v>2.71031150254661</v>
      </c>
      <c r="H15" s="2">
        <v>1.93115502411325</v>
      </c>
      <c r="I15" s="2">
        <v>0.215803612089743</v>
      </c>
      <c r="J15" s="2">
        <v>0.30549454907023199</v>
      </c>
      <c r="K15" s="2">
        <v>1.7655403814992301</v>
      </c>
      <c r="L15" s="2">
        <v>1.4741643373192601</v>
      </c>
      <c r="M15" s="2">
        <v>1.19350273007754</v>
      </c>
      <c r="N15" s="2">
        <v>1.47446761556784</v>
      </c>
      <c r="O15" s="2">
        <v>1.8779684738356499</v>
      </c>
      <c r="P15" s="2">
        <v>2.4428900448155901</v>
      </c>
      <c r="Q15" s="2">
        <v>-4.7929839083518004</v>
      </c>
      <c r="R15" s="2">
        <v>6.2544568646659204</v>
      </c>
      <c r="S15" s="2">
        <v>3.9562379757933002</v>
      </c>
    </row>
    <row r="16" spans="1:19" x14ac:dyDescent="0.3">
      <c r="A16" t="s">
        <v>33</v>
      </c>
      <c r="B16" t="s">
        <v>45</v>
      </c>
      <c r="C16" t="s">
        <v>46</v>
      </c>
      <c r="D16" s="2">
        <v>2.5065793775123</v>
      </c>
      <c r="E16" s="2">
        <v>0.31924734443455799</v>
      </c>
      <c r="F16" s="2">
        <v>-3.1220782754509302</v>
      </c>
      <c r="G16" s="2">
        <v>1.73762453640036</v>
      </c>
      <c r="H16" s="2">
        <v>-1.71352745905065</v>
      </c>
      <c r="I16" s="2">
        <v>-4.0509026762193496</v>
      </c>
      <c r="J16" s="2">
        <v>-0.98410657414832703</v>
      </c>
      <c r="K16" s="2">
        <v>0.74139142070650599</v>
      </c>
      <c r="L16" s="2">
        <v>1.5897980370268101</v>
      </c>
      <c r="M16" s="2">
        <v>2.0041412966657499</v>
      </c>
      <c r="N16" s="2">
        <v>3.3147200817598499</v>
      </c>
      <c r="O16" s="2">
        <v>2.9462834344920101</v>
      </c>
      <c r="P16" s="2">
        <v>2.7456843264859501</v>
      </c>
      <c r="Q16" s="2">
        <v>-8.2046315932438691</v>
      </c>
      <c r="R16" s="2">
        <v>5.5587567207037401</v>
      </c>
      <c r="S16" s="2">
        <v>6.98584137580277</v>
      </c>
    </row>
    <row r="17" spans="1:19" x14ac:dyDescent="0.3">
      <c r="A17" t="s">
        <v>20</v>
      </c>
      <c r="B17" t="s">
        <v>45</v>
      </c>
      <c r="C17" t="s">
        <v>46</v>
      </c>
      <c r="D17" s="2">
        <v>3.2248681409609499</v>
      </c>
      <c r="E17" s="2">
        <v>-0.92311325006796996</v>
      </c>
      <c r="F17" s="2">
        <v>-4.2556138420761798</v>
      </c>
      <c r="G17" s="2">
        <v>5.7507647757925398</v>
      </c>
      <c r="H17" s="2">
        <v>3.16388567406926</v>
      </c>
      <c r="I17" s="2">
        <v>-0.41439770245440799</v>
      </c>
      <c r="J17" s="2">
        <v>1.1376667180142499</v>
      </c>
      <c r="K17" s="2">
        <v>2.29577238758284</v>
      </c>
      <c r="L17" s="2">
        <v>4.3882467360858897</v>
      </c>
      <c r="M17" s="2">
        <v>2.13117914731151</v>
      </c>
      <c r="N17" s="2">
        <v>1.8828218496664499</v>
      </c>
      <c r="O17" s="2">
        <v>1.7702553546772</v>
      </c>
      <c r="P17" s="2">
        <v>2.6082301286952401</v>
      </c>
      <c r="Q17" s="2">
        <v>-1.93379704032216</v>
      </c>
      <c r="R17" s="2">
        <v>5.22586430287729</v>
      </c>
      <c r="S17" s="2">
        <v>1.25543620445816</v>
      </c>
    </row>
    <row r="18" spans="1:19" x14ac:dyDescent="0.3">
      <c r="A18" t="s">
        <v>31</v>
      </c>
      <c r="B18" t="s">
        <v>45</v>
      </c>
      <c r="C18" t="s">
        <v>46</v>
      </c>
      <c r="D18" s="2">
        <v>0.98717381594512599</v>
      </c>
      <c r="E18" s="2">
        <v>-0.41717843999100501</v>
      </c>
      <c r="F18" s="2">
        <v>-4.9744790566905799</v>
      </c>
      <c r="G18" s="2">
        <v>1.5828970310880199</v>
      </c>
      <c r="H18" s="2">
        <v>1.31080376096059</v>
      </c>
      <c r="I18" s="2">
        <v>-5.4323016167074903E-3</v>
      </c>
      <c r="J18" s="2">
        <v>1.39267343161971</v>
      </c>
      <c r="K18" s="2">
        <v>1.2779998319283099</v>
      </c>
      <c r="L18" s="2">
        <v>2.1044145644530001</v>
      </c>
      <c r="M18" s="2">
        <v>3.07304549209092</v>
      </c>
      <c r="N18" s="2">
        <v>3.0564772392271702</v>
      </c>
      <c r="O18" s="2">
        <v>1.8600074900921</v>
      </c>
      <c r="P18" s="2">
        <v>1.7114009393273599</v>
      </c>
      <c r="Q18" s="2">
        <v>-1.7801060183129001</v>
      </c>
      <c r="R18" s="2">
        <v>6.5002544575629404</v>
      </c>
      <c r="S18" s="2">
        <v>0.44383261490832998</v>
      </c>
    </row>
    <row r="19" spans="1:19" x14ac:dyDescent="0.3">
      <c r="A19" t="s">
        <v>22</v>
      </c>
      <c r="B19" t="s">
        <v>45</v>
      </c>
      <c r="C19" t="s">
        <v>46</v>
      </c>
      <c r="D19" s="2">
        <v>3.8853064480182198</v>
      </c>
      <c r="E19" s="2">
        <v>2.1168159364213701</v>
      </c>
      <c r="F19" s="2">
        <v>-3.6652904914509601</v>
      </c>
      <c r="G19" s="2">
        <v>1.31932032302214</v>
      </c>
      <c r="H19" s="2">
        <v>1.77334516269422</v>
      </c>
      <c r="I19" s="2">
        <v>-0.97787687774773202</v>
      </c>
      <c r="J19" s="2">
        <v>-3.02325600539603E-2</v>
      </c>
      <c r="K19" s="2">
        <v>1.6126100129401</v>
      </c>
      <c r="L19" s="2">
        <v>2.12060523860846</v>
      </c>
      <c r="M19" s="2">
        <v>2.4242857295548199</v>
      </c>
      <c r="N19" s="2">
        <v>2.7815461930993499</v>
      </c>
      <c r="O19" s="2">
        <v>2.2587403735731</v>
      </c>
      <c r="P19" s="2">
        <v>2.30009157916757</v>
      </c>
      <c r="Q19" s="2">
        <v>-3.86795333823222</v>
      </c>
      <c r="R19" s="2">
        <v>6.2768306708325898</v>
      </c>
      <c r="S19" s="2">
        <v>5.0072345515961096</v>
      </c>
    </row>
    <row r="20" spans="1:19" x14ac:dyDescent="0.3">
      <c r="A20" t="s">
        <v>19</v>
      </c>
      <c r="B20" t="s">
        <v>45</v>
      </c>
      <c r="C20" t="s">
        <v>46</v>
      </c>
      <c r="D20" s="2">
        <v>5.0492763524812796</v>
      </c>
      <c r="E20" s="2">
        <v>1.97287006723875</v>
      </c>
      <c r="F20" s="2">
        <v>-6.8123121757257303</v>
      </c>
      <c r="G20" s="2">
        <v>-1.33604672354972</v>
      </c>
      <c r="H20" s="2">
        <v>-0.110906722446628</v>
      </c>
      <c r="I20" s="2">
        <v>-2.2374336011976999</v>
      </c>
      <c r="J20" s="2">
        <v>-0.13364573653060999</v>
      </c>
      <c r="K20" s="2">
        <v>-0.55769291361458695</v>
      </c>
      <c r="L20" s="2">
        <v>2.31998692708386</v>
      </c>
      <c r="M20" s="2">
        <v>3.46646114288178</v>
      </c>
      <c r="N20" s="2">
        <v>3.28396321643012</v>
      </c>
      <c r="O20" s="2">
        <v>2.9110759340784198</v>
      </c>
      <c r="P20" s="2">
        <v>3.10152683894853</v>
      </c>
      <c r="Q20" s="2">
        <v>-8.3108640150118802</v>
      </c>
      <c r="R20" s="2">
        <v>12.6322190351024</v>
      </c>
      <c r="S20" s="2">
        <v>7.2944534364266698</v>
      </c>
    </row>
    <row r="21" spans="1:19" x14ac:dyDescent="0.3">
      <c r="A21" t="s">
        <v>21</v>
      </c>
      <c r="B21" t="s">
        <v>45</v>
      </c>
      <c r="C21" t="s">
        <v>46</v>
      </c>
      <c r="D21" s="2">
        <v>11.077928257867301</v>
      </c>
      <c r="E21" s="2">
        <v>2.59946154605601</v>
      </c>
      <c r="F21" s="2">
        <v>-14.8386117894847</v>
      </c>
      <c r="G21" s="2">
        <v>0.42719956655076802</v>
      </c>
      <c r="H21" s="2">
        <v>6.3236366482129798</v>
      </c>
      <c r="I21" s="2">
        <v>4.3829058435515602</v>
      </c>
      <c r="J21" s="2">
        <v>4.0469131857532501</v>
      </c>
      <c r="K21" s="2">
        <v>3.7725437958098902</v>
      </c>
      <c r="L21" s="2">
        <v>2.8328064334323302</v>
      </c>
      <c r="M21" s="2">
        <v>2.6719221505332902</v>
      </c>
      <c r="N21" s="2">
        <v>4.6122431031280904</v>
      </c>
      <c r="O21" s="2">
        <v>4.9183678010681096</v>
      </c>
      <c r="P21" s="2">
        <v>4.6773518353045</v>
      </c>
      <c r="Q21" s="2">
        <v>4.28158336981425E-2</v>
      </c>
      <c r="R21" s="2">
        <v>6.3800160617987203</v>
      </c>
      <c r="S21" s="2">
        <v>2.5375257401153402</v>
      </c>
    </row>
    <row r="22" spans="1:19" x14ac:dyDescent="0.3">
      <c r="A22" t="s">
        <v>29</v>
      </c>
      <c r="B22" t="s">
        <v>45</v>
      </c>
      <c r="C22" t="s">
        <v>46</v>
      </c>
      <c r="D22" s="2">
        <v>6.7604478527625904</v>
      </c>
      <c r="E22" s="2">
        <v>4.38377069274605</v>
      </c>
      <c r="F22" s="2">
        <v>2.6151285929168302</v>
      </c>
      <c r="G22" s="2">
        <v>3.16892748258035</v>
      </c>
      <c r="H22" s="2">
        <v>5.2554625661279601</v>
      </c>
      <c r="I22" s="2">
        <v>1.5117816764457499</v>
      </c>
      <c r="J22" s="2">
        <v>0.68424060705180501</v>
      </c>
      <c r="K22" s="2">
        <v>3.92050862390031</v>
      </c>
      <c r="L22" s="2">
        <v>4.4317670026447704</v>
      </c>
      <c r="M22" s="2">
        <v>3.0311776759484701</v>
      </c>
      <c r="N22" s="2">
        <v>5.1524577332590598</v>
      </c>
      <c r="O22" s="2">
        <v>6.2458584723942003</v>
      </c>
      <c r="P22" s="2">
        <v>4.5804581725619897</v>
      </c>
      <c r="Q22" s="2">
        <v>-2.03556882399976</v>
      </c>
      <c r="R22" s="2">
        <v>6.9271826605250002</v>
      </c>
      <c r="S22" s="2">
        <v>5.25545697386036</v>
      </c>
    </row>
    <row r="23" spans="1:19" x14ac:dyDescent="0.3">
      <c r="A23" t="s">
        <v>25</v>
      </c>
      <c r="B23" t="s">
        <v>45</v>
      </c>
      <c r="C23" t="s">
        <v>46</v>
      </c>
      <c r="D23" s="2">
        <v>7.2338077436280397</v>
      </c>
      <c r="E23" s="2">
        <v>9.3074671707733696</v>
      </c>
      <c r="F23" s="2">
        <v>-5.51670615843011</v>
      </c>
      <c r="G23" s="2">
        <v>-3.90581157302972</v>
      </c>
      <c r="H23" s="2">
        <v>4.49558909946313</v>
      </c>
      <c r="I23" s="2">
        <v>1.90361696799602</v>
      </c>
      <c r="J23" s="2">
        <v>0.27877187747023402</v>
      </c>
      <c r="K23" s="2">
        <v>4.1160010926783102</v>
      </c>
      <c r="L23" s="2">
        <v>3.1570360543853999</v>
      </c>
      <c r="M23" s="2">
        <v>2.8599325230208801</v>
      </c>
      <c r="N23" s="2">
        <v>8.1954782664126</v>
      </c>
      <c r="O23" s="2">
        <v>5.3945222818567498</v>
      </c>
      <c r="P23" s="2">
        <v>3.96028958497598</v>
      </c>
      <c r="Q23" s="2">
        <v>-3.5980254603475701</v>
      </c>
      <c r="R23" s="2">
        <v>5.5873507253886796</v>
      </c>
      <c r="S23" s="2">
        <v>4.1877130510410803</v>
      </c>
    </row>
    <row r="24" spans="1:19" x14ac:dyDescent="0.3">
      <c r="A24" t="s">
        <v>17</v>
      </c>
      <c r="B24" t="s">
        <v>45</v>
      </c>
      <c r="C24" t="s">
        <v>46</v>
      </c>
      <c r="D24" s="2">
        <v>7.1392312914716003</v>
      </c>
      <c r="E24" s="2">
        <v>3.3722386611412598</v>
      </c>
      <c r="F24" s="2">
        <v>-7.5905861404638699</v>
      </c>
      <c r="G24" s="2">
        <v>1.11213719306735</v>
      </c>
      <c r="H24" s="2">
        <v>0.65543812837974202</v>
      </c>
      <c r="I24" s="2">
        <v>-2.9155378204046198</v>
      </c>
      <c r="J24" s="2">
        <v>-0.82377641769167498</v>
      </c>
      <c r="K24" s="2">
        <v>2.7628332763974099</v>
      </c>
      <c r="L24" s="2">
        <v>2.39330621338167</v>
      </c>
      <c r="M24" s="2">
        <v>3.03441486663653</v>
      </c>
      <c r="N24" s="2">
        <v>5.1744021557995801</v>
      </c>
      <c r="O24" s="2">
        <v>4.3790834733119501</v>
      </c>
      <c r="P24" s="2">
        <v>3.5052533238191099</v>
      </c>
      <c r="Q24" s="2">
        <v>-4.0850009494289496</v>
      </c>
      <c r="R24" s="2">
        <v>8.4168645772532003</v>
      </c>
      <c r="S24" s="2">
        <v>2.6685055554248498</v>
      </c>
    </row>
    <row r="25" spans="1:19" x14ac:dyDescent="0.3">
      <c r="A25" t="s">
        <v>42</v>
      </c>
      <c r="B25" t="s">
        <v>45</v>
      </c>
      <c r="C25" t="s">
        <v>46</v>
      </c>
      <c r="D25" s="2">
        <v>10.8186295074903</v>
      </c>
      <c r="E25" s="2">
        <v>5.3633772123194898</v>
      </c>
      <c r="F25" s="2">
        <v>-5.5053379097222503</v>
      </c>
      <c r="G25" s="2">
        <v>6.7905815914242202</v>
      </c>
      <c r="H25" s="2">
        <v>2.56242473215553</v>
      </c>
      <c r="I25" s="2">
        <v>1.5691710470270499</v>
      </c>
      <c r="J25" s="2">
        <v>0.70332354524720098</v>
      </c>
      <c r="K25" s="2">
        <v>2.70795151449488</v>
      </c>
      <c r="L25" s="2">
        <v>5.1768790972213301</v>
      </c>
      <c r="M25" s="2">
        <v>1.94781841524557</v>
      </c>
      <c r="N25" s="2">
        <v>2.87473327453695</v>
      </c>
      <c r="O25" s="2">
        <v>4.0621198189648302</v>
      </c>
      <c r="P25" s="2">
        <v>2.2758991001939202</v>
      </c>
      <c r="Q25" s="2">
        <v>-2.5855124173320601</v>
      </c>
      <c r="R25" s="2">
        <v>5.6558588065555</v>
      </c>
      <c r="S25" s="2">
        <v>0.54459163213745398</v>
      </c>
    </row>
    <row r="26" spans="1:19" x14ac:dyDescent="0.3">
      <c r="A26" t="s">
        <v>26</v>
      </c>
      <c r="B26" t="s">
        <v>45</v>
      </c>
      <c r="C26" t="s">
        <v>46</v>
      </c>
      <c r="D26" s="2">
        <v>8.0986672304808192</v>
      </c>
      <c r="E26" s="2">
        <v>-0.30017562493684102</v>
      </c>
      <c r="F26" s="2">
        <v>-3.2389540914749202</v>
      </c>
      <c r="G26" s="2">
        <v>3.7604145432002798</v>
      </c>
      <c r="H26" s="2">
        <v>1.0442985532332401</v>
      </c>
      <c r="I26" s="2">
        <v>1.6499021276455299</v>
      </c>
      <c r="J26" s="2">
        <v>3.1717898996868201</v>
      </c>
      <c r="K26" s="2">
        <v>2.6230867915488099</v>
      </c>
      <c r="L26" s="2">
        <v>2.2697842330283402</v>
      </c>
      <c r="M26" s="2">
        <v>4.9781901152011496</v>
      </c>
      <c r="N26" s="2">
        <v>1.3171871375428399</v>
      </c>
      <c r="O26" s="2">
        <v>1.61129561338168</v>
      </c>
      <c r="P26" s="2">
        <v>2.74931929072658</v>
      </c>
      <c r="Q26" s="2">
        <v>-0.51005163403982501</v>
      </c>
      <c r="R26" s="2">
        <v>6.9297342584232897</v>
      </c>
      <c r="S26" s="2">
        <v>-1.0974168968152</v>
      </c>
    </row>
    <row r="27" spans="1:19" x14ac:dyDescent="0.3">
      <c r="A27" t="s">
        <v>37</v>
      </c>
      <c r="B27" t="s">
        <v>45</v>
      </c>
      <c r="C27" t="s">
        <v>46</v>
      </c>
      <c r="D27" s="2">
        <v>1.4622920528929</v>
      </c>
      <c r="E27" s="2">
        <v>-1.0231385117709599</v>
      </c>
      <c r="F27" s="2">
        <v>-5.3051540123399104</v>
      </c>
      <c r="G27" s="2">
        <v>1.529105732471</v>
      </c>
      <c r="H27" s="2">
        <v>0.69546315444017603</v>
      </c>
      <c r="I27" s="2">
        <v>-3.1252387728299502</v>
      </c>
      <c r="J27" s="2">
        <v>-1.8180251074979099</v>
      </c>
      <c r="K27" s="2">
        <v>-1.3876173045446101E-3</v>
      </c>
      <c r="L27" s="2">
        <v>0.88566763524080705</v>
      </c>
      <c r="M27" s="2">
        <v>1.23622108511661</v>
      </c>
      <c r="N27" s="2">
        <v>1.6036999529410101</v>
      </c>
      <c r="O27" s="2">
        <v>0.82664671234411402</v>
      </c>
      <c r="P27" s="2">
        <v>0.42916253378034203</v>
      </c>
      <c r="Q27" s="2">
        <v>-8.8682212218534406</v>
      </c>
      <c r="R27" s="2">
        <v>8.9310621080005408</v>
      </c>
      <c r="S27" s="2">
        <v>4.8211766991356404</v>
      </c>
    </row>
    <row r="28" spans="1:19" x14ac:dyDescent="0.3">
      <c r="A28" t="s">
        <v>23</v>
      </c>
      <c r="B28" t="s">
        <v>45</v>
      </c>
      <c r="C28" t="s">
        <v>46</v>
      </c>
      <c r="D28" s="2">
        <v>5.3128017669414396</v>
      </c>
      <c r="E28" s="2">
        <v>0.78443123571704998</v>
      </c>
      <c r="F28" s="2">
        <v>-8.0760311655239292</v>
      </c>
      <c r="G28" s="2">
        <v>3.1682879121620999</v>
      </c>
      <c r="H28" s="2">
        <v>2.3903945539682701</v>
      </c>
      <c r="I28" s="2">
        <v>-1.5228401304068899</v>
      </c>
      <c r="J28" s="2">
        <v>-0.97974102494961801</v>
      </c>
      <c r="K28" s="2">
        <v>-0.47806842478369999</v>
      </c>
      <c r="L28" s="2">
        <v>0.46650376632267399</v>
      </c>
      <c r="M28" s="2">
        <v>2.57193414898753</v>
      </c>
      <c r="N28" s="2">
        <v>3.3033700359103899</v>
      </c>
      <c r="O28" s="2">
        <v>1.19297759742292</v>
      </c>
      <c r="P28" s="2">
        <v>1.3497384574173701</v>
      </c>
      <c r="Q28" s="2">
        <v>-2.4910360553570698</v>
      </c>
      <c r="R28" s="2">
        <v>2.67634641498897</v>
      </c>
      <c r="S28" s="2">
        <v>0.76304191276352595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3CD7-E429-487F-A5DD-F358162F6B12}">
  <dimension ref="A1:S28"/>
  <sheetViews>
    <sheetView tabSelected="1" workbookViewId="0">
      <selection activeCell="Z34" sqref="Z34"/>
    </sheetView>
  </sheetViews>
  <sheetFormatPr defaultRowHeight="14.4" x14ac:dyDescent="0.3"/>
  <cols>
    <col min="4" max="4" width="21.44140625" customWidth="1"/>
  </cols>
  <sheetData>
    <row r="1" spans="1:19" x14ac:dyDescent="0.3">
      <c r="A1" t="s">
        <v>13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27</v>
      </c>
      <c r="B2" t="s">
        <v>47</v>
      </c>
      <c r="C2" t="s">
        <v>48</v>
      </c>
      <c r="D2">
        <v>46622.962291363503</v>
      </c>
      <c r="E2">
        <v>51581.398236107103</v>
      </c>
      <c r="F2">
        <v>47857.444663526498</v>
      </c>
      <c r="G2">
        <v>46611.139342023103</v>
      </c>
      <c r="H2">
        <v>51116.895352204199</v>
      </c>
      <c r="I2">
        <v>48250.405914263698</v>
      </c>
      <c r="J2">
        <v>50305.354577497201</v>
      </c>
      <c r="K2">
        <v>51314.972261632203</v>
      </c>
      <c r="L2">
        <v>43915.228020856899</v>
      </c>
      <c r="M2">
        <v>45061.499392019097</v>
      </c>
      <c r="N2">
        <v>47163.742577514196</v>
      </c>
      <c r="O2">
        <v>51194.074984129897</v>
      </c>
      <c r="P2">
        <v>49885.994735520399</v>
      </c>
      <c r="Q2">
        <v>48716.409890034898</v>
      </c>
      <c r="R2">
        <v>53648.643797621298</v>
      </c>
      <c r="S2">
        <v>52336.772522375701</v>
      </c>
    </row>
    <row r="3" spans="1:19" x14ac:dyDescent="0.3">
      <c r="A3" t="s">
        <v>35</v>
      </c>
      <c r="B3" t="s">
        <v>47</v>
      </c>
      <c r="C3" t="s">
        <v>48</v>
      </c>
      <c r="D3">
        <v>44319.165448813001</v>
      </c>
      <c r="E3">
        <v>48303.397956285902</v>
      </c>
      <c r="F3">
        <v>44923.340013508103</v>
      </c>
      <c r="G3">
        <v>44197.393671161903</v>
      </c>
      <c r="H3">
        <v>47760.8298776546</v>
      </c>
      <c r="I3">
        <v>44874.170918212199</v>
      </c>
      <c r="J3">
        <v>46964.5946777055</v>
      </c>
      <c r="K3">
        <v>47995.778696133901</v>
      </c>
      <c r="L3">
        <v>40893.804537771997</v>
      </c>
      <c r="M3">
        <v>41854.549829644398</v>
      </c>
      <c r="N3">
        <v>44035.323935854802</v>
      </c>
      <c r="O3">
        <v>47487.210039256002</v>
      </c>
      <c r="P3">
        <v>46716.622746796398</v>
      </c>
      <c r="Q3">
        <v>45906.287580524498</v>
      </c>
      <c r="R3">
        <v>51658.238294957897</v>
      </c>
      <c r="S3">
        <v>50605.749667708602</v>
      </c>
    </row>
    <row r="4" spans="1:19" x14ac:dyDescent="0.3">
      <c r="A4" t="s">
        <v>40</v>
      </c>
      <c r="B4" t="s">
        <v>47</v>
      </c>
      <c r="C4" t="s">
        <v>48</v>
      </c>
      <c r="D4">
        <v>5888.5708140393199</v>
      </c>
      <c r="E4">
        <v>7271.3033885802497</v>
      </c>
      <c r="F4">
        <v>6988.2731629646396</v>
      </c>
      <c r="G4">
        <v>6853.9480551117003</v>
      </c>
      <c r="H4">
        <v>7849.5806130281699</v>
      </c>
      <c r="I4">
        <v>7431.9578950886998</v>
      </c>
      <c r="J4">
        <v>7795.9809210892799</v>
      </c>
      <c r="K4">
        <v>8069.6000566768398</v>
      </c>
      <c r="L4">
        <v>7268.6544547387202</v>
      </c>
      <c r="M4">
        <v>7822.4992329296801</v>
      </c>
      <c r="N4">
        <v>8696.6893042792308</v>
      </c>
      <c r="O4">
        <v>9849.3839722517405</v>
      </c>
      <c r="P4">
        <v>10353.720458412699</v>
      </c>
      <c r="Q4">
        <v>10760.211975413</v>
      </c>
      <c r="R4">
        <v>12966.145754339601</v>
      </c>
      <c r="S4">
        <v>13999.194953095501</v>
      </c>
    </row>
    <row r="5" spans="1:19" x14ac:dyDescent="0.3">
      <c r="A5" t="s">
        <v>30</v>
      </c>
      <c r="B5" t="s">
        <v>47</v>
      </c>
      <c r="C5" t="s">
        <v>48</v>
      </c>
      <c r="D5">
        <v>31244.87890625</v>
      </c>
      <c r="E5">
        <v>35397.296875</v>
      </c>
      <c r="F5">
        <v>32236.44921875</v>
      </c>
      <c r="G5">
        <v>31105.02734375</v>
      </c>
      <c r="H5">
        <v>32485.798828125</v>
      </c>
      <c r="I5">
        <v>28991.935546875</v>
      </c>
      <c r="J5">
        <v>27764.73046875</v>
      </c>
      <c r="K5">
        <v>26993.103515625</v>
      </c>
      <c r="L5">
        <v>23088.44140625</v>
      </c>
      <c r="M5">
        <v>24280.056640625</v>
      </c>
      <c r="N5">
        <v>26247.44921875</v>
      </c>
      <c r="O5">
        <v>29120.375</v>
      </c>
      <c r="P5">
        <v>29227.173828125</v>
      </c>
      <c r="Q5">
        <v>28130.341796875</v>
      </c>
      <c r="R5">
        <v>32937.83984375</v>
      </c>
      <c r="S5">
        <v>33231.04296875</v>
      </c>
    </row>
    <row r="6" spans="1:19" x14ac:dyDescent="0.3">
      <c r="A6" t="s">
        <v>19</v>
      </c>
      <c r="B6" t="s">
        <v>47</v>
      </c>
      <c r="C6" t="s">
        <v>48</v>
      </c>
      <c r="D6">
        <v>13755.832107329101</v>
      </c>
      <c r="E6">
        <v>15888.0606949392</v>
      </c>
      <c r="F6">
        <v>14474.6519774193</v>
      </c>
      <c r="G6">
        <v>13729.765496502099</v>
      </c>
      <c r="H6">
        <v>14691.5582962919</v>
      </c>
      <c r="I6">
        <v>13507.780526099101</v>
      </c>
      <c r="J6">
        <v>14134.9474982888</v>
      </c>
      <c r="K6">
        <v>14186.7295493275</v>
      </c>
      <c r="L6">
        <v>12283.784062005199</v>
      </c>
      <c r="M6">
        <v>12820.165389300801</v>
      </c>
      <c r="N6">
        <v>13901.7878144678</v>
      </c>
      <c r="O6">
        <v>15460.366959549099</v>
      </c>
      <c r="P6">
        <v>15563.598729502901</v>
      </c>
      <c r="Q6">
        <v>14807.560854326501</v>
      </c>
      <c r="R6">
        <v>17788.786581665801</v>
      </c>
      <c r="S6">
        <v>18465.541442036301</v>
      </c>
    </row>
    <row r="7" spans="1:19" x14ac:dyDescent="0.3">
      <c r="A7" t="s">
        <v>31</v>
      </c>
      <c r="B7" t="s">
        <v>47</v>
      </c>
      <c r="C7" t="s">
        <v>48</v>
      </c>
      <c r="D7">
        <v>58631.656643363502</v>
      </c>
      <c r="E7">
        <v>64616.665758366202</v>
      </c>
      <c r="F7">
        <v>58412.747235851297</v>
      </c>
      <c r="G7">
        <v>58104.544559498099</v>
      </c>
      <c r="H7">
        <v>61809.737898222003</v>
      </c>
      <c r="I7">
        <v>58443.774710396698</v>
      </c>
      <c r="J7">
        <v>61377.594059041097</v>
      </c>
      <c r="K7">
        <v>62520.450974701103</v>
      </c>
      <c r="L7">
        <v>53094.013360757301</v>
      </c>
      <c r="M7">
        <v>54500.926041021703</v>
      </c>
      <c r="N7">
        <v>57521.5514992225</v>
      </c>
      <c r="O7">
        <v>61324.766504556501</v>
      </c>
      <c r="P7">
        <v>59404.266324772201</v>
      </c>
      <c r="Q7">
        <v>60985.488560151301</v>
      </c>
      <c r="R7">
        <v>69340.733492213796</v>
      </c>
      <c r="S7">
        <v>67781.094093951397</v>
      </c>
    </row>
    <row r="8" spans="1:19" x14ac:dyDescent="0.3">
      <c r="A8" t="s">
        <v>36</v>
      </c>
      <c r="B8" t="s">
        <v>47</v>
      </c>
      <c r="C8" t="s">
        <v>48</v>
      </c>
      <c r="D8">
        <v>16745.4308011147</v>
      </c>
      <c r="E8">
        <v>18205.906411344498</v>
      </c>
      <c r="F8">
        <v>14712.4494217916</v>
      </c>
      <c r="G8">
        <v>14663.7041018704</v>
      </c>
      <c r="H8">
        <v>17555.545523942601</v>
      </c>
      <c r="I8">
        <v>17568.2137969713</v>
      </c>
      <c r="J8">
        <v>19310.3874900757</v>
      </c>
      <c r="K8">
        <v>20581.7898991695</v>
      </c>
      <c r="L8">
        <v>17722.155766952299</v>
      </c>
      <c r="M8">
        <v>18666.373652170601</v>
      </c>
      <c r="N8">
        <v>20851.522349686002</v>
      </c>
      <c r="O8">
        <v>23618.136125458001</v>
      </c>
      <c r="P8">
        <v>24021.250141330602</v>
      </c>
      <c r="Q8">
        <v>23933.993942106499</v>
      </c>
      <c r="R8">
        <v>27951.1659277744</v>
      </c>
      <c r="S8">
        <v>28340.382654940498</v>
      </c>
    </row>
    <row r="9" spans="1:19" x14ac:dyDescent="0.3">
      <c r="A9" t="s">
        <v>23</v>
      </c>
      <c r="B9" t="s">
        <v>47</v>
      </c>
      <c r="C9" t="s">
        <v>48</v>
      </c>
      <c r="D9">
        <v>48473.024009145403</v>
      </c>
      <c r="E9">
        <v>53769.472624038499</v>
      </c>
      <c r="F9">
        <v>47478.349531099899</v>
      </c>
      <c r="G9">
        <v>46506.291901656601</v>
      </c>
      <c r="H9">
        <v>51060.324258976601</v>
      </c>
      <c r="I9">
        <v>47551.674084136903</v>
      </c>
      <c r="J9">
        <v>49691.014520073797</v>
      </c>
      <c r="K9">
        <v>50073.776081587101</v>
      </c>
      <c r="L9">
        <v>42560.345676710203</v>
      </c>
      <c r="M9">
        <v>43451.2562442157</v>
      </c>
      <c r="N9">
        <v>46085.017473903499</v>
      </c>
      <c r="O9">
        <v>49654.249703532798</v>
      </c>
      <c r="P9">
        <v>48358.180777369998</v>
      </c>
      <c r="Q9">
        <v>48828.684686279899</v>
      </c>
      <c r="R9">
        <v>53099.135140014703</v>
      </c>
      <c r="S9">
        <v>50440.560224973997</v>
      </c>
    </row>
    <row r="10" spans="1:19" x14ac:dyDescent="0.3">
      <c r="A10" t="s">
        <v>14</v>
      </c>
      <c r="B10" t="s">
        <v>47</v>
      </c>
      <c r="C10" t="s">
        <v>48</v>
      </c>
      <c r="D10">
        <v>41486.190782878599</v>
      </c>
      <c r="E10">
        <v>45464.818138515802</v>
      </c>
      <c r="F10">
        <v>41728.0884164132</v>
      </c>
      <c r="G10">
        <v>40694.821169702402</v>
      </c>
      <c r="H10">
        <v>43929.7840873811</v>
      </c>
      <c r="I10">
        <v>40863.581441233298</v>
      </c>
      <c r="J10">
        <v>42669.179511189199</v>
      </c>
      <c r="K10">
        <v>43148.045928841602</v>
      </c>
      <c r="L10">
        <v>36702.432373337899</v>
      </c>
      <c r="M10">
        <v>37024.215713366801</v>
      </c>
      <c r="N10">
        <v>38687.162640716298</v>
      </c>
      <c r="O10">
        <v>41418.176648484397</v>
      </c>
      <c r="P10">
        <v>40408.284857475002</v>
      </c>
      <c r="Q10">
        <v>39169.8606000707</v>
      </c>
      <c r="R10">
        <v>43725.099952124503</v>
      </c>
      <c r="S10">
        <v>40988.639640657901</v>
      </c>
    </row>
    <row r="11" spans="1:19" x14ac:dyDescent="0.3">
      <c r="A11" t="s">
        <v>41</v>
      </c>
      <c r="B11" t="s">
        <v>47</v>
      </c>
      <c r="C11" t="s">
        <v>48</v>
      </c>
      <c r="D11">
        <v>42350.921721148799</v>
      </c>
      <c r="E11">
        <v>46379.164795347802</v>
      </c>
      <c r="F11">
        <v>42471.8868625225</v>
      </c>
      <c r="G11">
        <v>42396.966597629304</v>
      </c>
      <c r="H11">
        <v>47630.976188357199</v>
      </c>
      <c r="I11">
        <v>44718.015921406797</v>
      </c>
      <c r="J11">
        <v>47206.835351424103</v>
      </c>
      <c r="K11">
        <v>48959.5991203132</v>
      </c>
      <c r="L11">
        <v>41929.754911072101</v>
      </c>
      <c r="M11">
        <v>42948.9381932693</v>
      </c>
      <c r="N11">
        <v>45553.934149533801</v>
      </c>
      <c r="O11">
        <v>48916.168661215401</v>
      </c>
      <c r="P11">
        <v>47656.199739746997</v>
      </c>
      <c r="Q11">
        <v>47394.873450446903</v>
      </c>
      <c r="R11">
        <v>52349.245999442202</v>
      </c>
      <c r="S11">
        <v>50506.517963854298</v>
      </c>
    </row>
    <row r="12" spans="1:19" x14ac:dyDescent="0.3">
      <c r="A12" t="s">
        <v>32</v>
      </c>
      <c r="B12" t="s">
        <v>47</v>
      </c>
      <c r="C12" t="s">
        <v>48</v>
      </c>
      <c r="D12">
        <v>28440.7625328955</v>
      </c>
      <c r="E12">
        <v>31695.833109220901</v>
      </c>
      <c r="F12">
        <v>29425.457320026198</v>
      </c>
      <c r="G12">
        <v>26653.0488008625</v>
      </c>
      <c r="H12">
        <v>25504.7866510124</v>
      </c>
      <c r="I12">
        <v>21624.346052551002</v>
      </c>
      <c r="J12">
        <v>21573.344976280401</v>
      </c>
      <c r="K12">
        <v>21474.725712389099</v>
      </c>
      <c r="L12">
        <v>17980.729823813701</v>
      </c>
      <c r="M12">
        <v>17919.242637704701</v>
      </c>
      <c r="N12">
        <v>18631.993012929299</v>
      </c>
      <c r="O12">
        <v>19873.401523877099</v>
      </c>
      <c r="P12">
        <v>19335.3602002968</v>
      </c>
      <c r="Q12">
        <v>17886.733165236001</v>
      </c>
      <c r="R12">
        <v>20654.7001960815</v>
      </c>
      <c r="S12">
        <v>20886.524308762801</v>
      </c>
    </row>
    <row r="13" spans="1:19" x14ac:dyDescent="0.3">
      <c r="A13" t="s">
        <v>28</v>
      </c>
      <c r="B13" t="s">
        <v>47</v>
      </c>
      <c r="C13" t="s">
        <v>48</v>
      </c>
      <c r="D13">
        <v>13934.6054603749</v>
      </c>
      <c r="E13">
        <v>15762.632251511201</v>
      </c>
      <c r="F13">
        <v>13051.1831777184</v>
      </c>
      <c r="G13">
        <v>13189.8433874768</v>
      </c>
      <c r="H13">
        <v>14211.4605578219</v>
      </c>
      <c r="I13">
        <v>12950.1594488142</v>
      </c>
      <c r="J13">
        <v>13739.4620151401</v>
      </c>
      <c r="K13">
        <v>14352.5018831739</v>
      </c>
      <c r="L13">
        <v>12782.9412577972</v>
      </c>
      <c r="M13">
        <v>13215.860527778799</v>
      </c>
      <c r="N13">
        <v>14736.166815725799</v>
      </c>
      <c r="O13">
        <v>16605.0570511886</v>
      </c>
      <c r="P13">
        <v>17012.859855319799</v>
      </c>
      <c r="Q13">
        <v>16386.930882125798</v>
      </c>
      <c r="R13">
        <v>19030.628130329002</v>
      </c>
      <c r="S13">
        <v>18428.028825613899</v>
      </c>
    </row>
    <row r="14" spans="1:19" x14ac:dyDescent="0.3">
      <c r="A14" t="s">
        <v>20</v>
      </c>
      <c r="B14" t="s">
        <v>47</v>
      </c>
      <c r="C14" t="s">
        <v>48</v>
      </c>
      <c r="D14">
        <v>53568.3057787832</v>
      </c>
      <c r="E14">
        <v>55817.175972648503</v>
      </c>
      <c r="F14">
        <v>46707.642504474999</v>
      </c>
      <c r="G14">
        <v>52542.575909029903</v>
      </c>
      <c r="H14">
        <v>60379.481459932103</v>
      </c>
      <c r="I14">
        <v>57749.561542085299</v>
      </c>
      <c r="J14">
        <v>60843.988879936798</v>
      </c>
      <c r="K14">
        <v>59583.458449171398</v>
      </c>
      <c r="L14">
        <v>51188.1652120492</v>
      </c>
      <c r="M14">
        <v>51703.508833285101</v>
      </c>
      <c r="N14">
        <v>53210.223331896399</v>
      </c>
      <c r="O14">
        <v>54018.455439186</v>
      </c>
      <c r="P14">
        <v>51648.9892820514</v>
      </c>
      <c r="Q14">
        <v>52568.572698014599</v>
      </c>
      <c r="R14">
        <v>60647.541636534603</v>
      </c>
      <c r="S14">
        <v>54836.890723512297</v>
      </c>
    </row>
    <row r="15" spans="1:19" x14ac:dyDescent="0.3">
      <c r="A15" t="s">
        <v>18</v>
      </c>
      <c r="B15" t="s">
        <v>47</v>
      </c>
      <c r="C15" t="s">
        <v>48</v>
      </c>
      <c r="D15">
        <v>61396.417461175901</v>
      </c>
      <c r="E15">
        <v>61353.1065629523</v>
      </c>
      <c r="F15">
        <v>52133.090616254303</v>
      </c>
      <c r="G15">
        <v>48623.966642248699</v>
      </c>
      <c r="H15">
        <v>52613.854035568802</v>
      </c>
      <c r="I15">
        <v>49335.840809955502</v>
      </c>
      <c r="J15">
        <v>52537.610864869101</v>
      </c>
      <c r="K15">
        <v>57214.537978570901</v>
      </c>
      <c r="L15">
        <v>64250.138518125597</v>
      </c>
      <c r="M15">
        <v>64129.557154238297</v>
      </c>
      <c r="N15">
        <v>72161.4047531385</v>
      </c>
      <c r="O15">
        <v>80804.112316482599</v>
      </c>
      <c r="P15">
        <v>81827.668887399603</v>
      </c>
      <c r="Q15">
        <v>86514.070610875395</v>
      </c>
      <c r="R15">
        <v>103783.44628447801</v>
      </c>
      <c r="S15">
        <v>105190.68595273</v>
      </c>
    </row>
    <row r="16" spans="1:19" x14ac:dyDescent="0.3">
      <c r="A16" t="s">
        <v>37</v>
      </c>
      <c r="B16" t="s">
        <v>47</v>
      </c>
      <c r="C16" t="s">
        <v>48</v>
      </c>
      <c r="D16">
        <v>37826.175455482196</v>
      </c>
      <c r="E16">
        <v>40828.579558093697</v>
      </c>
      <c r="F16">
        <v>37099.6133958219</v>
      </c>
      <c r="G16">
        <v>35856.862548553901</v>
      </c>
      <c r="H16">
        <v>38432.374282001801</v>
      </c>
      <c r="I16">
        <v>34854.3949441964</v>
      </c>
      <c r="J16">
        <v>35701.6746002375</v>
      </c>
      <c r="K16">
        <v>36028.349402234802</v>
      </c>
      <c r="L16">
        <v>30639.882975143199</v>
      </c>
      <c r="M16">
        <v>31391.569289810799</v>
      </c>
      <c r="N16">
        <v>32844.115660604002</v>
      </c>
      <c r="O16">
        <v>34904.108192383297</v>
      </c>
      <c r="P16">
        <v>33812.788724867904</v>
      </c>
      <c r="Q16">
        <v>32091.486662136602</v>
      </c>
      <c r="R16">
        <v>36852.542541495</v>
      </c>
      <c r="S16">
        <v>35653.904210349501</v>
      </c>
    </row>
    <row r="17" spans="1:19" x14ac:dyDescent="0.3">
      <c r="A17" t="s">
        <v>38</v>
      </c>
      <c r="B17" t="s">
        <v>47</v>
      </c>
      <c r="C17" t="s">
        <v>48</v>
      </c>
      <c r="D17">
        <v>13370.978945250699</v>
      </c>
      <c r="E17">
        <v>15677.6080864505</v>
      </c>
      <c r="F17">
        <v>11996.0322729773</v>
      </c>
      <c r="G17">
        <v>11188.419170097601</v>
      </c>
      <c r="H17">
        <v>12902.574053337001</v>
      </c>
      <c r="I17">
        <v>13329.3499931271</v>
      </c>
      <c r="J17">
        <v>14484.4715282132</v>
      </c>
      <c r="K17">
        <v>15185.8145812359</v>
      </c>
      <c r="L17">
        <v>13321.975314061499</v>
      </c>
      <c r="M17">
        <v>13838.5266823272</v>
      </c>
      <c r="N17">
        <v>15132.495833398099</v>
      </c>
      <c r="O17">
        <v>17252.171042862501</v>
      </c>
      <c r="P17">
        <v>17294.975160096899</v>
      </c>
      <c r="Q17">
        <v>17564.232154935398</v>
      </c>
      <c r="R17">
        <v>20261.8887788916</v>
      </c>
      <c r="S17">
        <v>20221.103686109</v>
      </c>
    </row>
    <row r="18" spans="1:19" x14ac:dyDescent="0.3">
      <c r="A18" t="s">
        <v>21</v>
      </c>
      <c r="B18" t="s">
        <v>47</v>
      </c>
      <c r="C18" t="s">
        <v>48</v>
      </c>
      <c r="D18">
        <v>12295.1212779365</v>
      </c>
      <c r="E18">
        <v>14955.534546292</v>
      </c>
      <c r="F18">
        <v>11854.371105309499</v>
      </c>
      <c r="G18">
        <v>11829.122609456999</v>
      </c>
      <c r="H18">
        <v>14261.843378732499</v>
      </c>
      <c r="I18">
        <v>14288.185349313801</v>
      </c>
      <c r="J18">
        <v>15636.525258604701</v>
      </c>
      <c r="K18">
        <v>16446.164718166299</v>
      </c>
      <c r="L18">
        <v>14269.8039878286</v>
      </c>
      <c r="M18">
        <v>14934.270284042799</v>
      </c>
      <c r="N18">
        <v>16800.151024609801</v>
      </c>
      <c r="O18">
        <v>19247.2315367966</v>
      </c>
      <c r="P18">
        <v>19608.7943945552</v>
      </c>
      <c r="Q18">
        <v>20428.647815739401</v>
      </c>
      <c r="R18">
        <v>23870.459485172199</v>
      </c>
      <c r="S18">
        <v>25085.784063498999</v>
      </c>
    </row>
    <row r="19" spans="1:19" x14ac:dyDescent="0.3">
      <c r="A19" t="s">
        <v>26</v>
      </c>
      <c r="B19" t="s">
        <v>47</v>
      </c>
      <c r="C19" t="s">
        <v>48</v>
      </c>
      <c r="D19">
        <v>107475.320297977</v>
      </c>
      <c r="E19">
        <v>120422.137934156</v>
      </c>
      <c r="F19">
        <v>109419.74695310601</v>
      </c>
      <c r="G19">
        <v>110885.991378721</v>
      </c>
      <c r="H19">
        <v>119025.057203466</v>
      </c>
      <c r="I19">
        <v>112584.67627095801</v>
      </c>
      <c r="J19">
        <v>120000.14072985901</v>
      </c>
      <c r="K19">
        <v>123678.702143274</v>
      </c>
      <c r="L19">
        <v>105462.012584422</v>
      </c>
      <c r="M19">
        <v>106899.293549551</v>
      </c>
      <c r="N19">
        <v>110193.213797227</v>
      </c>
      <c r="O19">
        <v>116926.759593904</v>
      </c>
      <c r="P19">
        <v>112696.649059674</v>
      </c>
      <c r="Q19">
        <v>116860.028172359</v>
      </c>
      <c r="R19">
        <v>134965.81544215101</v>
      </c>
      <c r="S19">
        <v>123719.658915996</v>
      </c>
    </row>
    <row r="20" spans="1:19" x14ac:dyDescent="0.3">
      <c r="A20" t="s">
        <v>39</v>
      </c>
      <c r="B20" t="s">
        <v>47</v>
      </c>
      <c r="C20" t="s">
        <v>48</v>
      </c>
      <c r="D20">
        <v>19444.174195838099</v>
      </c>
      <c r="E20">
        <v>22315.3104212988</v>
      </c>
      <c r="F20">
        <v>21176.321826267202</v>
      </c>
      <c r="G20">
        <v>21946.606963602899</v>
      </c>
      <c r="H20">
        <v>23516.969123430201</v>
      </c>
      <c r="I20">
        <v>22878.313086652099</v>
      </c>
      <c r="J20">
        <v>25415.556686773099</v>
      </c>
      <c r="K20">
        <v>27424.576564669402</v>
      </c>
      <c r="L20">
        <v>25529.681333771601</v>
      </c>
      <c r="M20">
        <v>26459.077092998701</v>
      </c>
      <c r="N20">
        <v>30317.244317554199</v>
      </c>
      <c r="O20">
        <v>33382.267749926701</v>
      </c>
      <c r="P20">
        <v>32421.917975226101</v>
      </c>
      <c r="Q20">
        <v>31823.4363934504</v>
      </c>
      <c r="R20">
        <v>38096.836073511899</v>
      </c>
      <c r="S20">
        <v>35638.886945740502</v>
      </c>
    </row>
    <row r="21" spans="1:19" x14ac:dyDescent="0.3">
      <c r="A21" t="s">
        <v>22</v>
      </c>
      <c r="B21" t="s">
        <v>47</v>
      </c>
      <c r="C21" t="s">
        <v>48</v>
      </c>
      <c r="D21">
        <v>52100.799628594701</v>
      </c>
      <c r="E21">
        <v>58246.702690587401</v>
      </c>
      <c r="F21">
        <v>53172.026158141802</v>
      </c>
      <c r="G21">
        <v>51305.733853397302</v>
      </c>
      <c r="H21">
        <v>54701.772803061103</v>
      </c>
      <c r="I21">
        <v>50473.944200268801</v>
      </c>
      <c r="J21">
        <v>52602.286052076503</v>
      </c>
      <c r="K21">
        <v>53457.223486432202</v>
      </c>
      <c r="L21">
        <v>45793.813543469703</v>
      </c>
      <c r="M21">
        <v>46808.5291492502</v>
      </c>
      <c r="N21">
        <v>49513.681734638398</v>
      </c>
      <c r="O21">
        <v>53955.0770024265</v>
      </c>
      <c r="P21">
        <v>53554.900749147499</v>
      </c>
      <c r="Q21">
        <v>53467.9277413737</v>
      </c>
      <c r="R21">
        <v>60141.9880911492</v>
      </c>
      <c r="S21">
        <v>59123.318556486898</v>
      </c>
    </row>
    <row r="22" spans="1:19" x14ac:dyDescent="0.3">
      <c r="A22" t="s">
        <v>29</v>
      </c>
      <c r="B22" t="s">
        <v>47</v>
      </c>
      <c r="C22" t="s">
        <v>48</v>
      </c>
      <c r="D22">
        <v>11272.529368338301</v>
      </c>
      <c r="E22">
        <v>14048.560467265301</v>
      </c>
      <c r="F22">
        <v>11556.302686602599</v>
      </c>
      <c r="G22">
        <v>12567.731767638101</v>
      </c>
      <c r="H22">
        <v>13867.666940819099</v>
      </c>
      <c r="I22">
        <v>13087.4209433209</v>
      </c>
      <c r="J22">
        <v>13621.902379403</v>
      </c>
      <c r="K22">
        <v>14262.2841914115</v>
      </c>
      <c r="L22">
        <v>12637.5220324406</v>
      </c>
      <c r="M22">
        <v>12464.011050847501</v>
      </c>
      <c r="N22">
        <v>13913.340291992599</v>
      </c>
      <c r="O22">
        <v>15658.212031679301</v>
      </c>
      <c r="P22">
        <v>15874.5220531253</v>
      </c>
      <c r="Q22">
        <v>16150.930481347201</v>
      </c>
      <c r="R22">
        <v>18635.510489575299</v>
      </c>
      <c r="S22">
        <v>18891.2121169278</v>
      </c>
    </row>
    <row r="23" spans="1:19" x14ac:dyDescent="0.3">
      <c r="A23" t="s">
        <v>33</v>
      </c>
      <c r="B23" t="s">
        <v>47</v>
      </c>
      <c r="C23" t="s">
        <v>48</v>
      </c>
      <c r="D23">
        <v>22811.0564844365</v>
      </c>
      <c r="E23">
        <v>24949.041356673901</v>
      </c>
      <c r="F23">
        <v>23151.215413071099</v>
      </c>
      <c r="G23">
        <v>22551.935098808899</v>
      </c>
      <c r="H23">
        <v>23246.542541648101</v>
      </c>
      <c r="I23">
        <v>20593.427422410899</v>
      </c>
      <c r="J23">
        <v>21676.485964271302</v>
      </c>
      <c r="K23">
        <v>22120.685012710699</v>
      </c>
      <c r="L23">
        <v>19215.781301434599</v>
      </c>
      <c r="M23">
        <v>19980.280886651501</v>
      </c>
      <c r="N23">
        <v>21442.3842768879</v>
      </c>
      <c r="O23">
        <v>23541.140107528801</v>
      </c>
      <c r="P23">
        <v>23343.362897003401</v>
      </c>
      <c r="Q23">
        <v>22299.404406217302</v>
      </c>
      <c r="R23">
        <v>24711.451006210998</v>
      </c>
      <c r="S23">
        <v>24620.519758718001</v>
      </c>
    </row>
    <row r="24" spans="1:19" x14ac:dyDescent="0.3">
      <c r="A24" t="s">
        <v>42</v>
      </c>
      <c r="B24" t="s">
        <v>47</v>
      </c>
      <c r="C24" t="s">
        <v>48</v>
      </c>
      <c r="D24">
        <v>16110.4817265237</v>
      </c>
      <c r="E24">
        <v>18744.319227834501</v>
      </c>
      <c r="F24">
        <v>16586.7527805227</v>
      </c>
      <c r="G24">
        <v>16899.448680528902</v>
      </c>
      <c r="H24">
        <v>18469.4354316836</v>
      </c>
      <c r="I24">
        <v>17516.969105407701</v>
      </c>
      <c r="J24">
        <v>18312.7805149823</v>
      </c>
      <c r="K24">
        <v>18770.928989654501</v>
      </c>
      <c r="L24">
        <v>16442.0760860017</v>
      </c>
      <c r="M24">
        <v>16636.076913307301</v>
      </c>
      <c r="N24">
        <v>17645.529871676099</v>
      </c>
      <c r="O24">
        <v>19573.371703131401</v>
      </c>
      <c r="P24">
        <v>19406.058968358098</v>
      </c>
      <c r="Q24">
        <v>19735.48582808</v>
      </c>
      <c r="R24">
        <v>22123.334211454501</v>
      </c>
      <c r="S24">
        <v>21317.794398236201</v>
      </c>
    </row>
    <row r="25" spans="1:19" x14ac:dyDescent="0.3">
      <c r="A25" t="s">
        <v>17</v>
      </c>
      <c r="B25" t="s">
        <v>47</v>
      </c>
      <c r="C25" t="s">
        <v>48</v>
      </c>
      <c r="D25">
        <v>23725.159600151499</v>
      </c>
      <c r="E25">
        <v>27461.976416531499</v>
      </c>
      <c r="F25">
        <v>24501.789729042499</v>
      </c>
      <c r="G25">
        <v>23329.841769115501</v>
      </c>
      <c r="H25">
        <v>24940.628484160399</v>
      </c>
      <c r="I25">
        <v>22442.1417859955</v>
      </c>
      <c r="J25">
        <v>23236.965532169499</v>
      </c>
      <c r="K25">
        <v>24013.068206095901</v>
      </c>
      <c r="L25">
        <v>20697.274853061801</v>
      </c>
      <c r="M25">
        <v>21447.8377796036</v>
      </c>
      <c r="N25">
        <v>23303.077705959</v>
      </c>
      <c r="O25">
        <v>25888.0481065655</v>
      </c>
      <c r="P25">
        <v>25814.168716757202</v>
      </c>
      <c r="Q25">
        <v>25392.0651093612</v>
      </c>
      <c r="R25">
        <v>29192.840193301799</v>
      </c>
      <c r="S25">
        <v>28360.304146726801</v>
      </c>
    </row>
    <row r="26" spans="1:19" x14ac:dyDescent="0.3">
      <c r="A26" t="s">
        <v>25</v>
      </c>
      <c r="B26" t="s">
        <v>47</v>
      </c>
      <c r="C26" t="s">
        <v>48</v>
      </c>
      <c r="D26">
        <v>8360.33775916595</v>
      </c>
      <c r="E26">
        <v>10435.156123078699</v>
      </c>
      <c r="F26">
        <v>8548.4543409241905</v>
      </c>
      <c r="G26">
        <v>8399.5374234284009</v>
      </c>
      <c r="H26">
        <v>9560.6755277457996</v>
      </c>
      <c r="I26">
        <v>8929.9536623147396</v>
      </c>
      <c r="J26">
        <v>9497.6741161523696</v>
      </c>
      <c r="K26">
        <v>10031.7710755403</v>
      </c>
      <c r="L26">
        <v>8977.0174815819591</v>
      </c>
      <c r="M26">
        <v>9404.5400587071399</v>
      </c>
      <c r="N26">
        <v>10727.982200742499</v>
      </c>
      <c r="O26">
        <v>12416.1343179589</v>
      </c>
      <c r="P26">
        <v>12909.6104013243</v>
      </c>
      <c r="Q26">
        <v>13009.1770573222</v>
      </c>
      <c r="R26">
        <v>14907.9803652142</v>
      </c>
      <c r="S26">
        <v>15503.551804597901</v>
      </c>
    </row>
    <row r="27" spans="1:19" x14ac:dyDescent="0.3">
      <c r="A27" t="s">
        <v>24</v>
      </c>
      <c r="B27" t="s">
        <v>47</v>
      </c>
      <c r="C27" t="s">
        <v>48</v>
      </c>
      <c r="D27">
        <v>18452.653281219598</v>
      </c>
      <c r="E27">
        <v>22774.704507620499</v>
      </c>
      <c r="F27">
        <v>19817.421583655399</v>
      </c>
      <c r="G27">
        <v>20160.435507705799</v>
      </c>
      <c r="H27">
        <v>22049.108078868201</v>
      </c>
      <c r="I27">
        <v>20014.035401516401</v>
      </c>
      <c r="J27">
        <v>20260.495499937399</v>
      </c>
      <c r="K27">
        <v>20038.4163180256</v>
      </c>
      <c r="L27">
        <v>17931.598767076699</v>
      </c>
      <c r="M27">
        <v>18753.9686718095</v>
      </c>
      <c r="N27">
        <v>20913.197632211999</v>
      </c>
      <c r="O27">
        <v>23705.932981129801</v>
      </c>
      <c r="P27">
        <v>24062.719001334299</v>
      </c>
      <c r="Q27">
        <v>23472.891545441598</v>
      </c>
      <c r="R27">
        <v>27696.461952754398</v>
      </c>
      <c r="S27">
        <v>28282.223671585602</v>
      </c>
    </row>
    <row r="28" spans="1:19" x14ac:dyDescent="0.3">
      <c r="A28" t="s">
        <v>34</v>
      </c>
      <c r="B28" t="s">
        <v>47</v>
      </c>
      <c r="C28" t="s">
        <v>48</v>
      </c>
      <c r="D28">
        <v>32652.015594701901</v>
      </c>
      <c r="E28">
        <v>35603.248328071</v>
      </c>
      <c r="F28">
        <v>32279.820847615101</v>
      </c>
      <c r="G28">
        <v>30658.742228291099</v>
      </c>
      <c r="H28">
        <v>31824.6219134776</v>
      </c>
      <c r="I28">
        <v>28456.443815147599</v>
      </c>
      <c r="J28">
        <v>29228.846559842001</v>
      </c>
      <c r="K28">
        <v>29707.765509467001</v>
      </c>
      <c r="L28">
        <v>25982.441619777499</v>
      </c>
      <c r="M28">
        <v>26755.606114939801</v>
      </c>
      <c r="N28">
        <v>28381.342559690602</v>
      </c>
      <c r="O28">
        <v>30602.421288111302</v>
      </c>
      <c r="P28">
        <v>29786.524568900699</v>
      </c>
      <c r="Q28">
        <v>27233.9426461607</v>
      </c>
      <c r="R28">
        <v>30799.477593777399</v>
      </c>
      <c r="S28">
        <v>30319.498719661598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42D2-2807-48DD-9E2E-AF5CAFC6CBC1}">
  <dimension ref="A1:R28"/>
  <sheetViews>
    <sheetView workbookViewId="0">
      <selection activeCell="L38" sqref="L38"/>
    </sheetView>
  </sheetViews>
  <sheetFormatPr defaultRowHeight="14.4" x14ac:dyDescent="0.3"/>
  <sheetData>
    <row r="1" spans="1:18" x14ac:dyDescent="0.3">
      <c r="A1" t="s">
        <v>13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</row>
    <row r="2" spans="1:18" x14ac:dyDescent="0.3">
      <c r="A2" t="s">
        <v>27</v>
      </c>
      <c r="B2" t="s">
        <v>49</v>
      </c>
      <c r="C2" s="2">
        <v>12.9840241123201</v>
      </c>
      <c r="D2" s="2">
        <v>12.6611194672378</v>
      </c>
      <c r="E2" s="2">
        <v>13.4379155011382</v>
      </c>
      <c r="F2" s="2">
        <v>13.7053738878044</v>
      </c>
      <c r="G2" s="2">
        <v>13.2554242490317</v>
      </c>
      <c r="H2" s="2">
        <v>14.544678902468799</v>
      </c>
      <c r="I2" s="2">
        <v>15.3690648693426</v>
      </c>
      <c r="J2" s="2">
        <v>15.490449013248</v>
      </c>
      <c r="K2" s="2">
        <v>15.032731994906699</v>
      </c>
      <c r="L2" s="2">
        <v>14.453259187711099</v>
      </c>
      <c r="M2" s="2">
        <v>12.885199703788899</v>
      </c>
      <c r="N2" s="2">
        <v>11.6500759838374</v>
      </c>
      <c r="O2" s="2">
        <v>11.4825348767666</v>
      </c>
      <c r="P2" s="2">
        <v>12.2718957660445</v>
      </c>
      <c r="Q2" s="2">
        <v>11.017122140568</v>
      </c>
      <c r="R2" s="2">
        <v>14.914170247260101</v>
      </c>
    </row>
    <row r="3" spans="1:18" x14ac:dyDescent="0.3">
      <c r="A3" t="s">
        <v>35</v>
      </c>
      <c r="B3" t="s">
        <v>49</v>
      </c>
      <c r="C3" s="2">
        <v>8.4658386362655893</v>
      </c>
      <c r="D3" s="2">
        <v>8.9469498379449401</v>
      </c>
      <c r="E3" s="2">
        <v>11.3575445439539</v>
      </c>
      <c r="F3" s="2">
        <v>9.2652301044888397</v>
      </c>
      <c r="G3" s="2">
        <v>8.6748384062106094</v>
      </c>
      <c r="H3" s="2">
        <v>8.9420007987590999</v>
      </c>
      <c r="I3" s="2">
        <v>10.640611754827001</v>
      </c>
      <c r="J3" s="2">
        <v>11.939351731537901</v>
      </c>
      <c r="K3" s="2">
        <v>12.335173968122501</v>
      </c>
      <c r="L3" s="2">
        <v>13.3312451633932</v>
      </c>
      <c r="M3" s="2">
        <v>11.491790355790901</v>
      </c>
      <c r="N3" s="2">
        <v>11.705864059451599</v>
      </c>
      <c r="O3" s="2">
        <v>14.1440138847212</v>
      </c>
      <c r="P3" s="2">
        <v>15.261861578971301</v>
      </c>
      <c r="Q3" s="2">
        <v>21.379963876373701</v>
      </c>
      <c r="R3" s="2">
        <v>22.817913517326499</v>
      </c>
    </row>
    <row r="4" spans="1:18" x14ac:dyDescent="0.3">
      <c r="A4" t="s">
        <v>40</v>
      </c>
      <c r="B4" t="s">
        <v>49</v>
      </c>
      <c r="C4" s="2">
        <v>6.2935055811419902</v>
      </c>
      <c r="D4" s="2">
        <v>6.9730376031482901</v>
      </c>
      <c r="E4" s="2">
        <v>8.6660332828317799</v>
      </c>
      <c r="F4" s="2">
        <v>8.4042515769835706</v>
      </c>
      <c r="G4" s="2">
        <v>7.8156879376438999</v>
      </c>
      <c r="H4" s="2">
        <v>8.0475539275056196</v>
      </c>
      <c r="I4" s="2">
        <v>8.2944021933670502</v>
      </c>
      <c r="J4" s="2">
        <v>7.5780008677320296</v>
      </c>
      <c r="K4" s="2">
        <v>8.4502667133510698</v>
      </c>
      <c r="L4" s="2">
        <v>8.9861030529870707</v>
      </c>
      <c r="M4" s="2">
        <v>9.6360885454945198</v>
      </c>
      <c r="N4" s="2">
        <v>10.3728902592084</v>
      </c>
      <c r="O4" s="2">
        <v>10.852310176050601</v>
      </c>
      <c r="P4" s="2">
        <v>11.303272578422201</v>
      </c>
      <c r="Q4" s="2">
        <v>10.924473573821301</v>
      </c>
      <c r="R4" s="2">
        <v>10.3826775418568</v>
      </c>
    </row>
    <row r="5" spans="1:18" x14ac:dyDescent="0.3">
      <c r="A5" t="s">
        <v>30</v>
      </c>
      <c r="B5" t="s">
        <v>49</v>
      </c>
      <c r="C5" s="2">
        <v>31.295656200092701</v>
      </c>
      <c r="D5" s="2">
        <v>32.017237218952801</v>
      </c>
      <c r="E5" s="2">
        <v>32.529426203260797</v>
      </c>
      <c r="F5" s="2">
        <v>38.201519810953599</v>
      </c>
      <c r="G5" s="2">
        <v>30.358543546918298</v>
      </c>
      <c r="H5" s="2">
        <v>16.5914967808238</v>
      </c>
      <c r="I5" s="2">
        <v>13.0833984575067</v>
      </c>
      <c r="J5" s="2">
        <v>14.5282633236727</v>
      </c>
      <c r="K5" s="2">
        <v>12.7108239034115</v>
      </c>
      <c r="L5" s="2">
        <v>13.3285149968645</v>
      </c>
      <c r="M5" s="2">
        <v>13.349961138736999</v>
      </c>
      <c r="N5" s="2">
        <v>19.856794088136802</v>
      </c>
      <c r="O5" s="2">
        <v>19.874215891300999</v>
      </c>
      <c r="P5" s="2">
        <v>12.2448277312995</v>
      </c>
      <c r="Q5" s="2">
        <v>15.969002678663299</v>
      </c>
      <c r="R5" s="2">
        <v>17.659598122901102</v>
      </c>
    </row>
    <row r="6" spans="1:18" x14ac:dyDescent="0.3">
      <c r="A6" t="s">
        <v>24</v>
      </c>
      <c r="B6" t="s">
        <v>49</v>
      </c>
      <c r="C6" s="2">
        <v>15.286165859306101</v>
      </c>
      <c r="D6" s="2">
        <v>15.789935033415899</v>
      </c>
      <c r="E6" s="2">
        <v>17.443540679090798</v>
      </c>
      <c r="F6" s="2">
        <v>17.8761073763384</v>
      </c>
      <c r="G6" s="2">
        <v>18.715352715258302</v>
      </c>
      <c r="H6" s="2">
        <v>18.589206344096102</v>
      </c>
      <c r="I6" s="2">
        <v>17.334368506367898</v>
      </c>
      <c r="J6" s="2">
        <v>17.3712318028821</v>
      </c>
      <c r="K6" s="2">
        <v>17.734407203851202</v>
      </c>
      <c r="L6" s="2">
        <v>16.8728021438795</v>
      </c>
      <c r="M6" s="2">
        <v>17.8292568189487</v>
      </c>
      <c r="N6" s="2">
        <v>19.554997790449899</v>
      </c>
      <c r="O6" s="2">
        <v>20.710413023329199</v>
      </c>
      <c r="P6" s="2">
        <v>22.582515259649899</v>
      </c>
      <c r="Q6" s="2">
        <v>20.356090926255199</v>
      </c>
      <c r="R6" s="2">
        <v>21.835361895952499</v>
      </c>
    </row>
    <row r="7" spans="1:18" x14ac:dyDescent="0.3">
      <c r="A7" t="s">
        <v>41</v>
      </c>
      <c r="B7" t="s">
        <v>49</v>
      </c>
      <c r="C7" s="2">
        <v>15.4623925898068</v>
      </c>
      <c r="D7" s="2">
        <v>15.076241600562</v>
      </c>
      <c r="E7" s="2">
        <v>16.7942910292468</v>
      </c>
      <c r="F7" s="2">
        <v>16.8896855327149</v>
      </c>
      <c r="G7" s="2">
        <v>16.341718628511401</v>
      </c>
      <c r="H7" s="2">
        <v>17.2272861923697</v>
      </c>
      <c r="I7" s="2">
        <v>17.297990604368199</v>
      </c>
      <c r="J7" s="2">
        <v>17.209714973150799</v>
      </c>
      <c r="K7" s="2">
        <v>17.824375276644702</v>
      </c>
      <c r="L7" s="2">
        <v>18.082701421475999</v>
      </c>
      <c r="M7" s="2">
        <v>15.8505787944519</v>
      </c>
      <c r="N7" s="2">
        <v>15.747433558401299</v>
      </c>
      <c r="O7" s="2">
        <v>16.386931057177001</v>
      </c>
      <c r="P7" s="2">
        <v>15.503195986937399</v>
      </c>
      <c r="Q7" s="2">
        <v>15.385104822776499</v>
      </c>
      <c r="R7" s="2">
        <v>17.372011771576101</v>
      </c>
    </row>
    <row r="8" spans="1:18" x14ac:dyDescent="0.3">
      <c r="A8" t="s">
        <v>31</v>
      </c>
      <c r="B8" t="s">
        <v>49</v>
      </c>
      <c r="C8" s="2">
        <v>18.257362487899101</v>
      </c>
      <c r="D8" s="2">
        <v>16.857034111274501</v>
      </c>
      <c r="E8" s="2">
        <v>18.9310512130895</v>
      </c>
      <c r="F8" s="2">
        <v>15.4688409278646</v>
      </c>
      <c r="G8" s="2">
        <v>15.274565203174401</v>
      </c>
      <c r="H8" s="2">
        <v>15.826335095060999</v>
      </c>
      <c r="I8" s="2">
        <v>15.8225911560629</v>
      </c>
      <c r="J8" s="2">
        <v>15.7179605296799</v>
      </c>
      <c r="K8" s="2">
        <v>17.165500197031299</v>
      </c>
      <c r="L8" s="2">
        <v>14.883324235484199</v>
      </c>
      <c r="M8" s="2">
        <v>12.455720930984</v>
      </c>
      <c r="N8" s="2">
        <v>12.3547301877073</v>
      </c>
      <c r="O8" s="2">
        <v>12.039996737933899</v>
      </c>
      <c r="P8" s="2">
        <v>13.2343925466706</v>
      </c>
      <c r="Q8" s="2">
        <v>13.924746774000299</v>
      </c>
      <c r="R8" s="2">
        <v>17.119129681054101</v>
      </c>
    </row>
    <row r="9" spans="1:18" x14ac:dyDescent="0.3">
      <c r="A9" t="s">
        <v>34</v>
      </c>
      <c r="B9" t="s">
        <v>49</v>
      </c>
      <c r="C9" s="2">
        <v>5.6129710487067301</v>
      </c>
      <c r="D9" s="2">
        <v>5.5848808984602796</v>
      </c>
      <c r="E9" s="2">
        <v>6.4732405608231103</v>
      </c>
      <c r="F9" s="2">
        <v>6.5581983123657004</v>
      </c>
      <c r="G9" s="2">
        <v>6.5862639924790596</v>
      </c>
      <c r="H9" s="2">
        <v>7.2508066342019797</v>
      </c>
      <c r="I9" s="2">
        <v>6.9700529595638701</v>
      </c>
      <c r="J9" s="2">
        <v>6.9121536146472202</v>
      </c>
      <c r="K9" s="2">
        <v>6.8883350648423898</v>
      </c>
      <c r="L9" s="2">
        <v>7.8024814109486798</v>
      </c>
      <c r="M9" s="2">
        <v>6.9994901349431604</v>
      </c>
      <c r="N9" s="2">
        <v>6.7669354874541501</v>
      </c>
      <c r="O9" s="2">
        <v>6.8464009110301296</v>
      </c>
      <c r="P9" s="2">
        <v>7.7684213553112098</v>
      </c>
      <c r="Q9" s="2">
        <v>9.3932038221435104</v>
      </c>
      <c r="R9" s="2">
        <v>12.5837187911388</v>
      </c>
    </row>
    <row r="10" spans="1:18" x14ac:dyDescent="0.3">
      <c r="A10" t="s">
        <v>36</v>
      </c>
      <c r="B10" t="s">
        <v>49</v>
      </c>
      <c r="C10" s="2">
        <v>12.125723143011299</v>
      </c>
      <c r="D10" s="2">
        <v>11.438007989567099</v>
      </c>
      <c r="E10" s="2">
        <v>11.385936848644301</v>
      </c>
      <c r="F10" s="2">
        <v>15.7346506591756</v>
      </c>
      <c r="G10" s="2">
        <v>22.226827571538202</v>
      </c>
      <c r="H10" s="2">
        <v>20.5676117029777</v>
      </c>
      <c r="I10" s="2">
        <v>20.676114816619499</v>
      </c>
      <c r="J10" s="2">
        <v>23.652438820507001</v>
      </c>
      <c r="K10" s="2">
        <v>22.714467629433202</v>
      </c>
      <c r="L10" s="2">
        <v>21.907258368418599</v>
      </c>
      <c r="M10" s="2">
        <v>17.964694276480699</v>
      </c>
      <c r="N10" s="2">
        <v>18.204526006752499</v>
      </c>
      <c r="O10" s="2">
        <v>16.964424867765501</v>
      </c>
      <c r="P10" s="2">
        <v>20.621626433895099</v>
      </c>
      <c r="Q10" s="2">
        <v>20.6301155577085</v>
      </c>
      <c r="R10" s="2">
        <v>18.018643831561501</v>
      </c>
    </row>
    <row r="11" spans="1:18" x14ac:dyDescent="0.3">
      <c r="A11" t="s">
        <v>23</v>
      </c>
      <c r="B11" t="s">
        <v>49</v>
      </c>
      <c r="C11" s="2">
        <v>21.767755955483299</v>
      </c>
      <c r="D11" s="2">
        <v>21.487889929162499</v>
      </c>
      <c r="E11" s="2">
        <v>18.015979962713701</v>
      </c>
      <c r="F11" s="2">
        <v>13.146863762203401</v>
      </c>
      <c r="G11" s="2">
        <v>11.0754610454262</v>
      </c>
      <c r="H11" s="2">
        <v>10.473913690223499</v>
      </c>
      <c r="I11" s="2">
        <v>9.0264325792686808</v>
      </c>
      <c r="J11" s="2">
        <v>10.052520608432101</v>
      </c>
      <c r="K11" s="2">
        <v>10.184282786607501</v>
      </c>
      <c r="L11" s="2">
        <v>10.052829776297999</v>
      </c>
      <c r="M11" s="2">
        <v>9.6573147330321891</v>
      </c>
      <c r="N11" s="2">
        <v>9.0176535503215192</v>
      </c>
      <c r="O11" s="2">
        <v>9.2147012059361799</v>
      </c>
      <c r="P11" s="2">
        <v>9.9823002528583409</v>
      </c>
      <c r="Q11" s="2">
        <v>10.293753853625301</v>
      </c>
      <c r="R11" s="2">
        <v>9.6239284366748397</v>
      </c>
    </row>
    <row r="12" spans="1:18" x14ac:dyDescent="0.3">
      <c r="A12" t="s">
        <v>14</v>
      </c>
      <c r="B12" t="s">
        <v>49</v>
      </c>
      <c r="C12" s="2">
        <v>20.142834949886801</v>
      </c>
      <c r="D12" s="2">
        <v>21.461797672835399</v>
      </c>
      <c r="E12" s="2">
        <v>24.123557619923901</v>
      </c>
      <c r="F12" s="2">
        <v>26.323380007467399</v>
      </c>
      <c r="G12" s="2">
        <v>25.1193585926138</v>
      </c>
      <c r="H12" s="2">
        <v>26.690631956632199</v>
      </c>
      <c r="I12" s="2">
        <v>27.181717756541101</v>
      </c>
      <c r="J12" s="2">
        <v>27.470273668688399</v>
      </c>
      <c r="K12" s="2">
        <v>28.211690850532499</v>
      </c>
      <c r="L12" s="2">
        <v>27.9331801598167</v>
      </c>
      <c r="M12" s="2">
        <v>26.018021899866799</v>
      </c>
      <c r="N12" s="2">
        <v>25.934784925577599</v>
      </c>
      <c r="O12" s="2">
        <v>26.926597640741299</v>
      </c>
      <c r="P12" s="2">
        <v>23.228835724997602</v>
      </c>
      <c r="Q12" s="2">
        <v>21.9247132369801</v>
      </c>
      <c r="R12" s="2">
        <v>22.983183444706299</v>
      </c>
    </row>
    <row r="13" spans="1:18" x14ac:dyDescent="0.3">
      <c r="A13" t="s">
        <v>32</v>
      </c>
      <c r="B13" t="s">
        <v>49</v>
      </c>
      <c r="C13" s="2">
        <v>9.1144681712794</v>
      </c>
      <c r="D13" s="2">
        <v>10.8506674946219</v>
      </c>
      <c r="E13" s="2">
        <v>12.227178424289299</v>
      </c>
      <c r="F13" s="2">
        <v>11.5956558548605</v>
      </c>
      <c r="G13" s="2">
        <v>11.2505862199211</v>
      </c>
      <c r="H13" s="2">
        <v>10.1435850577283</v>
      </c>
      <c r="I13" s="2">
        <v>8.4789318813978607</v>
      </c>
      <c r="J13" s="2">
        <v>11.5060312558604</v>
      </c>
      <c r="K13" s="2">
        <v>12.9218253082767</v>
      </c>
      <c r="L13" s="2">
        <v>13.727008117583299</v>
      </c>
      <c r="M13" s="2">
        <v>12.1148895809545</v>
      </c>
      <c r="N13" s="2">
        <v>12.955188948643601</v>
      </c>
      <c r="O13" s="2">
        <v>12.5222555558252</v>
      </c>
      <c r="P13" s="2">
        <v>13.251866971442301</v>
      </c>
      <c r="Q13" s="2">
        <v>12.2848681524393</v>
      </c>
      <c r="R13" s="2">
        <v>14.4708651762207</v>
      </c>
    </row>
    <row r="14" spans="1:18" x14ac:dyDescent="0.3">
      <c r="A14" t="s">
        <v>19</v>
      </c>
      <c r="B14" t="s">
        <v>49</v>
      </c>
      <c r="C14" s="2">
        <v>9.5004866476955296</v>
      </c>
      <c r="D14" s="2">
        <v>9.5191300754172197</v>
      </c>
      <c r="E14" s="2">
        <v>11.308457380009299</v>
      </c>
      <c r="F14" s="2">
        <v>10.182112128121</v>
      </c>
      <c r="G14" s="2">
        <v>8.6911549126651</v>
      </c>
      <c r="H14" s="2">
        <v>11.8120561647369</v>
      </c>
      <c r="I14" s="2">
        <v>12.493497088882</v>
      </c>
      <c r="J14" s="2">
        <v>10.43905219168</v>
      </c>
      <c r="K14" s="2">
        <v>10.7066240086763</v>
      </c>
      <c r="L14" s="2">
        <v>14.401699447488101</v>
      </c>
      <c r="M14" s="2">
        <v>8.7381013601639506</v>
      </c>
      <c r="N14" s="2">
        <v>8.8375310150213</v>
      </c>
      <c r="O14" s="2">
        <v>8.2892708353639595</v>
      </c>
      <c r="P14" s="2">
        <v>9.6800410329938007</v>
      </c>
      <c r="Q14" s="2">
        <v>9.6067335141227392</v>
      </c>
      <c r="R14" s="2">
        <v>12.063854042863699</v>
      </c>
    </row>
    <row r="15" spans="1:18" x14ac:dyDescent="0.3">
      <c r="A15" t="s">
        <v>28</v>
      </c>
      <c r="B15" t="s">
        <v>49</v>
      </c>
      <c r="C15" s="2">
        <v>26.0916621380543</v>
      </c>
      <c r="D15" s="2">
        <v>24.9681371276166</v>
      </c>
      <c r="E15" s="2">
        <v>26.727919071358599</v>
      </c>
      <c r="F15" s="2">
        <v>25.922697857898701</v>
      </c>
      <c r="G15" s="2">
        <v>25.179361878503499</v>
      </c>
      <c r="H15" s="2">
        <v>21.2196345000287</v>
      </c>
      <c r="I15" s="2">
        <v>19.369152311200299</v>
      </c>
      <c r="J15" s="2">
        <v>16.690197511843401</v>
      </c>
      <c r="K15" s="2">
        <v>17.083258445169999</v>
      </c>
      <c r="L15" s="2">
        <v>17.576453021337301</v>
      </c>
      <c r="M15" s="2">
        <v>17.263073277676401</v>
      </c>
      <c r="N15" s="2">
        <v>16.820985862964498</v>
      </c>
      <c r="O15" s="2">
        <v>17.378760062212798</v>
      </c>
      <c r="P15" s="2">
        <v>17.464880722177799</v>
      </c>
      <c r="Q15" s="2">
        <v>16.397512642927801</v>
      </c>
      <c r="R15" s="2">
        <v>18.404891725843001</v>
      </c>
    </row>
    <row r="16" spans="1:18" x14ac:dyDescent="0.3">
      <c r="A16" t="s">
        <v>18</v>
      </c>
      <c r="B16" t="s">
        <v>49</v>
      </c>
      <c r="C16" s="2">
        <v>32.001718610692699</v>
      </c>
      <c r="D16" s="2">
        <v>30.190082082960899</v>
      </c>
      <c r="E16" s="2">
        <v>27.164639804194</v>
      </c>
      <c r="F16" s="2">
        <v>22.9145841859063</v>
      </c>
      <c r="G16" s="2">
        <v>24.9067720884766</v>
      </c>
      <c r="H16" s="2">
        <v>25.586358694431699</v>
      </c>
      <c r="I16" s="2">
        <v>24.983932815658299</v>
      </c>
      <c r="J16" s="2">
        <v>24.918923151613601</v>
      </c>
      <c r="K16" s="2">
        <v>28.338949434780101</v>
      </c>
      <c r="L16" s="2">
        <v>32.8418171476767</v>
      </c>
      <c r="M16" s="2">
        <v>29.3340262522775</v>
      </c>
      <c r="N16" s="2">
        <v>25.015278229875101</v>
      </c>
      <c r="O16" s="2">
        <v>25.9769791902199</v>
      </c>
      <c r="P16" s="2">
        <v>25.899154469000202</v>
      </c>
      <c r="Q16" s="2">
        <v>28.478147527199098</v>
      </c>
      <c r="R16" s="2">
        <v>46.786780149771403</v>
      </c>
    </row>
    <row r="17" spans="1:18" x14ac:dyDescent="0.3">
      <c r="A17" t="s">
        <v>37</v>
      </c>
      <c r="B17" t="s">
        <v>49</v>
      </c>
      <c r="C17" s="2">
        <v>6.7329630013147801</v>
      </c>
      <c r="D17" s="2">
        <v>6.6778570695395203</v>
      </c>
      <c r="E17" s="2">
        <v>7.8002874942140199</v>
      </c>
      <c r="F17" s="2">
        <v>8.01620176122678</v>
      </c>
      <c r="G17" s="2">
        <v>7.9715282570022499</v>
      </c>
      <c r="H17" s="2">
        <v>7.5950114017607104</v>
      </c>
      <c r="I17" s="2">
        <v>7.7720714528151502</v>
      </c>
      <c r="J17" s="2">
        <v>7.7369138171046199</v>
      </c>
      <c r="K17" s="2">
        <v>8.15204658018137</v>
      </c>
      <c r="L17" s="2">
        <v>8.2907461696454998</v>
      </c>
      <c r="M17" s="2">
        <v>7.8052686500985899</v>
      </c>
      <c r="N17" s="2">
        <v>7.4765588581392102</v>
      </c>
      <c r="O17" s="2">
        <v>7.75802459594121</v>
      </c>
      <c r="P17" s="2">
        <v>8.5872430129640005</v>
      </c>
      <c r="Q17" s="2">
        <v>7.7702456551625199</v>
      </c>
      <c r="R17" s="2">
        <v>9.1591623127102508</v>
      </c>
    </row>
    <row r="18" spans="1:18" x14ac:dyDescent="0.3">
      <c r="A18" t="s">
        <v>21</v>
      </c>
      <c r="B18" t="s">
        <v>49</v>
      </c>
      <c r="C18" s="2">
        <v>11.601358927676101</v>
      </c>
      <c r="D18" s="2">
        <v>11.799090469043</v>
      </c>
      <c r="E18" s="2">
        <v>10.5429057899842</v>
      </c>
      <c r="F18" s="2">
        <v>11.2469941524537</v>
      </c>
      <c r="G18" s="2">
        <v>10.6070246805608</v>
      </c>
      <c r="H18" s="2">
        <v>11.042222495168501</v>
      </c>
      <c r="I18" s="2">
        <v>11.0243128207069</v>
      </c>
      <c r="J18" s="2">
        <v>11.1391744920282</v>
      </c>
      <c r="K18" s="2">
        <v>12.7802328819912</v>
      </c>
      <c r="L18" s="2">
        <v>12.640001390143601</v>
      </c>
      <c r="M18" s="2">
        <v>12.519356798079</v>
      </c>
      <c r="N18" s="2">
        <v>12.1027083207729</v>
      </c>
      <c r="O18" s="2">
        <v>12.0304039362778</v>
      </c>
      <c r="P18" s="2">
        <v>12.009566093371101</v>
      </c>
      <c r="Q18" s="2">
        <v>11.5089569274319</v>
      </c>
      <c r="R18" s="2">
        <v>12.996394133363401</v>
      </c>
    </row>
    <row r="19" spans="1:18" x14ac:dyDescent="0.3">
      <c r="A19" t="s">
        <v>26</v>
      </c>
      <c r="B19" t="s">
        <v>49</v>
      </c>
      <c r="C19" s="2">
        <v>10.7100084670999</v>
      </c>
      <c r="D19" s="2">
        <v>8.0112933208158204</v>
      </c>
      <c r="E19" s="2">
        <v>10.3204694049141</v>
      </c>
      <c r="F19" s="2">
        <v>8.7786623766930507</v>
      </c>
      <c r="G19" s="2">
        <v>9.0505998616212295</v>
      </c>
      <c r="H19" s="2">
        <v>8.6848692357001802</v>
      </c>
      <c r="I19" s="2">
        <v>6.8438523675119001</v>
      </c>
      <c r="J19" s="2">
        <v>5.9725174102382104</v>
      </c>
      <c r="K19" s="2">
        <v>7.1063570044195901</v>
      </c>
      <c r="L19" s="2">
        <v>7.9670864044866097</v>
      </c>
      <c r="M19" s="2">
        <v>6.9688410293022001</v>
      </c>
      <c r="N19" s="2">
        <v>6.9732412367799101</v>
      </c>
      <c r="O19" s="2">
        <v>6.5735699428801802</v>
      </c>
      <c r="P19" s="2">
        <v>5.6192385499566297</v>
      </c>
      <c r="Q19" s="2">
        <v>6.0752020682150896</v>
      </c>
      <c r="R19" s="2">
        <v>5.99046038936579</v>
      </c>
    </row>
    <row r="20" spans="1:18" x14ac:dyDescent="0.3">
      <c r="A20" t="s">
        <v>38</v>
      </c>
      <c r="B20" t="s">
        <v>49</v>
      </c>
      <c r="C20" s="2">
        <v>7.4278091265413098</v>
      </c>
      <c r="D20" s="2">
        <v>7.3942130813454696</v>
      </c>
      <c r="E20" s="2">
        <v>8.6615211564386101</v>
      </c>
      <c r="F20" s="2">
        <v>8.4567844962059393</v>
      </c>
      <c r="G20" s="2">
        <v>9.4708345306432697</v>
      </c>
      <c r="H20" s="2">
        <v>11.4064111475119</v>
      </c>
      <c r="I20" s="2">
        <v>15.4178071105596</v>
      </c>
      <c r="J20" s="2">
        <v>17.7278751994183</v>
      </c>
      <c r="K20" s="2">
        <v>18.9164507233865</v>
      </c>
      <c r="L20" s="2">
        <v>17.234403275222899</v>
      </c>
      <c r="M20" s="2">
        <v>18.175614626687398</v>
      </c>
      <c r="N20" s="2">
        <v>21.5432221438864</v>
      </c>
      <c r="O20" s="2">
        <v>17.116371499338701</v>
      </c>
      <c r="P20" s="2">
        <v>20.036483570502401</v>
      </c>
      <c r="Q20" s="2">
        <v>16.980371363084199</v>
      </c>
      <c r="R20" s="2">
        <v>17.331386844879201</v>
      </c>
    </row>
    <row r="21" spans="1:18" x14ac:dyDescent="0.3">
      <c r="A21" t="s">
        <v>39</v>
      </c>
      <c r="B21" t="s">
        <v>49</v>
      </c>
      <c r="C21" s="2">
        <v>53.0192892459335</v>
      </c>
      <c r="D21" s="2">
        <v>50.442265883756299</v>
      </c>
      <c r="E21" s="2">
        <v>48.027077803910402</v>
      </c>
      <c r="F21" s="2">
        <v>47.171165194607902</v>
      </c>
      <c r="G21" s="2">
        <v>47.412867479617702</v>
      </c>
      <c r="H21" s="2">
        <v>45.949396395033901</v>
      </c>
      <c r="I21" s="2">
        <v>38.710599422737303</v>
      </c>
      <c r="J21" s="2">
        <v>34.7084179812082</v>
      </c>
      <c r="K21" s="2">
        <v>30.7947211780704</v>
      </c>
      <c r="L21" s="2">
        <v>21.933254968022801</v>
      </c>
      <c r="M21" s="2">
        <v>30.377055477746499</v>
      </c>
      <c r="N21" s="2">
        <v>33.070808642130999</v>
      </c>
      <c r="O21" s="2">
        <v>29.621820456504398</v>
      </c>
      <c r="P21" s="2">
        <v>35.337775128513698</v>
      </c>
      <c r="Q21" s="2">
        <v>30.735559098231601</v>
      </c>
      <c r="R21" s="2">
        <v>38.961585188618599</v>
      </c>
    </row>
    <row r="22" spans="1:18" x14ac:dyDescent="0.3">
      <c r="A22" t="s">
        <v>22</v>
      </c>
      <c r="B22" t="s">
        <v>49</v>
      </c>
      <c r="C22" s="2">
        <v>29.063728998881501</v>
      </c>
      <c r="D22" s="2">
        <v>26.044513525010199</v>
      </c>
      <c r="E22" s="2">
        <v>28.043938310672502</v>
      </c>
      <c r="F22" s="2">
        <v>27.864996429834601</v>
      </c>
      <c r="G22" s="2">
        <v>25.239082101244499</v>
      </c>
      <c r="H22" s="2">
        <v>25.4832942720764</v>
      </c>
      <c r="I22" s="2">
        <v>24.665905114757699</v>
      </c>
      <c r="J22" s="2">
        <v>24.555968763258999</v>
      </c>
      <c r="K22" s="2">
        <v>24.074012919385002</v>
      </c>
      <c r="L22" s="2">
        <v>24.008740486607699</v>
      </c>
      <c r="M22" s="2">
        <v>22.921902524536701</v>
      </c>
      <c r="N22" s="2">
        <v>22.513206116324501</v>
      </c>
      <c r="O22" s="2">
        <v>23.048234692997202</v>
      </c>
      <c r="P22" s="2">
        <v>23.163976085380298</v>
      </c>
      <c r="Q22" s="2">
        <v>22.002321190827299</v>
      </c>
      <c r="R22" s="2">
        <v>21.957838012434198</v>
      </c>
    </row>
    <row r="23" spans="1:18" x14ac:dyDescent="0.3">
      <c r="A23" t="s">
        <v>29</v>
      </c>
      <c r="B23" t="s">
        <v>49</v>
      </c>
      <c r="C23" s="2">
        <v>3.8829614329134401</v>
      </c>
      <c r="D23" s="2">
        <v>5.2913273689291698</v>
      </c>
      <c r="E23" s="2">
        <v>7.0691517634487804</v>
      </c>
      <c r="F23" s="2">
        <v>7.7190895682802703</v>
      </c>
      <c r="G23" s="2">
        <v>6.6189204142924796</v>
      </c>
      <c r="H23" s="2">
        <v>7.81151383868806</v>
      </c>
      <c r="I23" s="2">
        <v>8.7450176724792197</v>
      </c>
      <c r="J23" s="2">
        <v>10.0686277870269</v>
      </c>
      <c r="K23" s="2">
        <v>10.7755213322015</v>
      </c>
      <c r="L23" s="2">
        <v>10.715422801420299</v>
      </c>
      <c r="M23" s="2">
        <v>10.667318725222099</v>
      </c>
      <c r="N23" s="2">
        <v>10.3950333891094</v>
      </c>
      <c r="O23" s="2">
        <v>9.8529348361967006</v>
      </c>
      <c r="P23" s="2">
        <v>9.8661654899716495</v>
      </c>
      <c r="Q23" s="2">
        <v>9.4455651428093503</v>
      </c>
      <c r="R23" s="2">
        <v>10.0886376866431</v>
      </c>
    </row>
    <row r="24" spans="1:18" x14ac:dyDescent="0.3">
      <c r="A24" t="s">
        <v>33</v>
      </c>
      <c r="B24" t="s">
        <v>49</v>
      </c>
      <c r="C24" s="2">
        <v>8.6030496829756693</v>
      </c>
      <c r="D24" s="2">
        <v>8.2364061023586395</v>
      </c>
      <c r="E24" s="2">
        <v>4.7945586664894</v>
      </c>
      <c r="F24" s="2">
        <v>4.0731061813298597</v>
      </c>
      <c r="G24" s="2">
        <v>4.1239897920344797</v>
      </c>
      <c r="H24" s="2">
        <v>4.4929986519750003</v>
      </c>
      <c r="I24" s="2">
        <v>4.7002779478976198</v>
      </c>
      <c r="J24" s="2">
        <v>4.8807096796370804</v>
      </c>
      <c r="K24" s="2">
        <v>5.0799527746131403</v>
      </c>
      <c r="L24" s="2">
        <v>5.8054000105444796</v>
      </c>
      <c r="M24" s="2">
        <v>5.9881259537165503</v>
      </c>
      <c r="N24" s="2">
        <v>5.28353269409281</v>
      </c>
      <c r="O24" s="2">
        <v>6.9418147544300899</v>
      </c>
      <c r="P24" s="2">
        <v>7.1147115711237996</v>
      </c>
      <c r="Q24" s="2">
        <v>6.2503314045119902</v>
      </c>
      <c r="R24" s="2">
        <v>6.9519881216912296</v>
      </c>
    </row>
    <row r="25" spans="1:18" x14ac:dyDescent="0.3">
      <c r="A25" t="s">
        <v>25</v>
      </c>
      <c r="B25" t="s">
        <v>49</v>
      </c>
      <c r="C25" s="2">
        <v>4.4197699873735301</v>
      </c>
      <c r="D25" s="2">
        <v>6.9249689926114097</v>
      </c>
      <c r="E25" s="2">
        <v>10.4128996910458</v>
      </c>
      <c r="F25" s="2">
        <v>12.5284153668524</v>
      </c>
      <c r="G25" s="2">
        <v>11.6358398403345</v>
      </c>
      <c r="H25" s="2">
        <v>8.1798795123646997</v>
      </c>
      <c r="I25" s="2">
        <v>7.3981832313213998</v>
      </c>
      <c r="J25" s="2">
        <v>8.41047672645864</v>
      </c>
      <c r="K25" s="2">
        <v>9.4141478022413398</v>
      </c>
      <c r="L25" s="2">
        <v>10.3924513925488</v>
      </c>
      <c r="M25" s="2">
        <v>9.7795973847904101</v>
      </c>
      <c r="N25" s="2">
        <v>10.0771915943774</v>
      </c>
      <c r="O25" s="2">
        <v>11.0725693077428</v>
      </c>
      <c r="P25" s="2">
        <v>11.937042485069799</v>
      </c>
      <c r="Q25" s="2">
        <v>11.487940834609899</v>
      </c>
      <c r="R25" s="2">
        <v>11.857337556019999</v>
      </c>
    </row>
    <row r="26" spans="1:18" x14ac:dyDescent="0.3">
      <c r="A26" t="s">
        <v>42</v>
      </c>
      <c r="B26" t="s">
        <v>49</v>
      </c>
      <c r="C26" s="2">
        <v>5.39522983956304</v>
      </c>
      <c r="D26" s="2">
        <v>5.0851430678071896</v>
      </c>
      <c r="E26" s="2">
        <v>6.3405837690537599</v>
      </c>
      <c r="F26" s="2">
        <v>7.3642892046800199</v>
      </c>
      <c r="G26" s="2">
        <v>7.5246632762285603</v>
      </c>
      <c r="H26" s="2">
        <v>9.5686239704236602</v>
      </c>
      <c r="I26" s="2">
        <v>11.0149736185921</v>
      </c>
      <c r="J26" s="2">
        <v>11.147735962980001</v>
      </c>
      <c r="K26" s="2">
        <v>11.1586996928016</v>
      </c>
      <c r="L26" s="2">
        <v>10.7371880441488</v>
      </c>
      <c r="M26" s="2">
        <v>11.765420230272699</v>
      </c>
      <c r="N26" s="2">
        <v>11.0338768311764</v>
      </c>
      <c r="O26" s="2">
        <v>9.9123888270262608</v>
      </c>
      <c r="P26" s="2">
        <v>9.9974144679811392</v>
      </c>
      <c r="Q26" s="2">
        <v>9.0013894015107407</v>
      </c>
      <c r="R26" s="2">
        <v>8.4904160142059695</v>
      </c>
    </row>
    <row r="27" spans="1:18" x14ac:dyDescent="0.3">
      <c r="A27" t="s">
        <v>17</v>
      </c>
      <c r="B27" t="s">
        <v>49</v>
      </c>
      <c r="C27" s="2">
        <v>5.6865088902449799</v>
      </c>
      <c r="D27" s="2">
        <v>6.4851370508961397</v>
      </c>
      <c r="E27" s="2">
        <v>6.8479357075228799</v>
      </c>
      <c r="F27" s="2">
        <v>6.0789483715091501</v>
      </c>
      <c r="G27" s="2">
        <v>6.2145415781994204</v>
      </c>
      <c r="H27" s="2">
        <v>6.6617719129969997</v>
      </c>
      <c r="I27" s="2">
        <v>6.7381828385442697</v>
      </c>
      <c r="J27" s="2">
        <v>6.4171900797440697</v>
      </c>
      <c r="K27" s="2">
        <v>7.0076944564910502</v>
      </c>
      <c r="L27" s="2">
        <v>7.1441867480575798</v>
      </c>
      <c r="M27" s="2">
        <v>6.5084482480458403</v>
      </c>
      <c r="N27" s="2">
        <v>6.8305398232145604</v>
      </c>
      <c r="O27" s="2">
        <v>7.3539245036076597</v>
      </c>
      <c r="P27" s="2">
        <v>7.7998527857080697</v>
      </c>
      <c r="Q27" s="2">
        <v>6.20930603257084</v>
      </c>
      <c r="R27" s="2">
        <v>8.5697864392421206</v>
      </c>
    </row>
    <row r="28" spans="1:18" x14ac:dyDescent="0.3">
      <c r="A28" t="s">
        <v>20</v>
      </c>
      <c r="B28" t="s">
        <v>49</v>
      </c>
      <c r="C28" s="2">
        <v>16.8057230661083</v>
      </c>
      <c r="D28" s="2">
        <v>17.2485871067251</v>
      </c>
      <c r="E28" s="2">
        <v>18.773299003793699</v>
      </c>
      <c r="F28" s="2">
        <v>19.4114842380156</v>
      </c>
      <c r="G28" s="2">
        <v>18.698162067043501</v>
      </c>
      <c r="H28" s="2">
        <v>17.983831792410399</v>
      </c>
      <c r="I28" s="2">
        <v>18.025383295864099</v>
      </c>
      <c r="J28" s="2">
        <v>17.877467240149699</v>
      </c>
      <c r="K28" s="2">
        <v>18.129095412890599</v>
      </c>
      <c r="L28" s="2">
        <v>17.837601637505301</v>
      </c>
      <c r="M28" s="2">
        <v>15.110342445952501</v>
      </c>
      <c r="N28" s="2">
        <v>14.1643140590828</v>
      </c>
      <c r="O28" s="2">
        <v>14.5057835745266</v>
      </c>
      <c r="P28" s="2">
        <v>15.135950838023801</v>
      </c>
      <c r="Q28" s="2">
        <v>13.9348317468926</v>
      </c>
      <c r="R28" s="2">
        <v>17.256654136370202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PANEL</vt:lpstr>
      <vt:lpstr>info </vt:lpstr>
      <vt:lpstr>ictgoods</vt:lpstr>
      <vt:lpstr>ictuse</vt:lpstr>
      <vt:lpstr>mobile_celular</vt:lpstr>
      <vt:lpstr>unemployEAD</vt:lpstr>
      <vt:lpstr>rdexpediture</vt:lpstr>
      <vt:lpstr>YOUTH_EMPLOY</vt:lpstr>
      <vt:lpstr>employmentRATE</vt:lpstr>
      <vt:lpstr>EMPLOYrate</vt:lpstr>
      <vt:lpstr>fixedbroadband</vt:lpstr>
      <vt:lpstr>gdpannual</vt:lpstr>
      <vt:lpstr>gdppercapita</vt:lpstr>
      <vt:lpstr>hightechmanu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Berbecel Floriana</dc:creator>
  <cp:lastModifiedBy>Berbecel I F Elena-Floriana</cp:lastModifiedBy>
  <dcterms:created xsi:type="dcterms:W3CDTF">2015-06-05T18:17:20Z</dcterms:created>
  <dcterms:modified xsi:type="dcterms:W3CDTF">2026-03-19T18:07:29Z</dcterms:modified>
</cp:coreProperties>
</file>